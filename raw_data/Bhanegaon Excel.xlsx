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wp52/Downloads/"/>
    </mc:Choice>
  </mc:AlternateContent>
  <xr:revisionPtr revIDLastSave="0" documentId="13_ncr:1_{39640076-FC20-E540-81E0-8BF6490791BB}" xr6:coauthVersionLast="47" xr6:coauthVersionMax="47" xr10:uidLastSave="{00000000-0000-0000-0000-000000000000}"/>
  <bookViews>
    <workbookView xWindow="0" yWindow="0" windowWidth="28800" windowHeight="18000" activeTab="3" xr2:uid="{B3FAD1CA-0729-4300-8171-1ED0813D4C65}"/>
  </bookViews>
  <sheets>
    <sheet name="Sheet1 (3)" sheetId="4" r:id="rId1"/>
    <sheet name="Sheet1 (2)" sheetId="2" r:id="rId2"/>
    <sheet name="Sheet3" sheetId="3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5" i="4" l="1"/>
  <c r="AI64" i="4"/>
  <c r="AI63" i="4"/>
  <c r="AI62" i="4"/>
  <c r="AI61" i="4"/>
  <c r="AI60" i="4"/>
  <c r="AI59" i="4"/>
  <c r="AI57" i="4"/>
  <c r="AI54" i="4"/>
  <c r="AI53" i="4"/>
  <c r="AI52" i="4"/>
  <c r="AI51" i="4"/>
  <c r="AI50" i="4"/>
  <c r="AI49" i="4"/>
  <c r="AI48" i="4"/>
  <c r="AI47" i="4"/>
  <c r="AI46" i="4"/>
  <c r="AI44" i="4"/>
  <c r="AI43" i="4"/>
  <c r="AI42" i="4"/>
  <c r="AI41" i="4"/>
  <c r="AI35" i="4"/>
  <c r="AI33" i="4"/>
  <c r="AI32" i="4"/>
  <c r="AI31" i="4"/>
  <c r="AI30" i="4"/>
  <c r="AI28" i="4"/>
  <c r="AI27" i="4"/>
  <c r="AI26" i="4"/>
  <c r="AI24" i="4"/>
  <c r="AI23" i="4"/>
  <c r="AI22" i="4"/>
  <c r="AI21" i="4"/>
  <c r="AI10" i="4"/>
  <c r="AI8" i="4"/>
  <c r="AI7" i="4"/>
  <c r="AI2" i="4"/>
  <c r="V65" i="4"/>
  <c r="Q65" i="4"/>
  <c r="R65" i="4" s="1"/>
  <c r="V64" i="4"/>
  <c r="W64" i="4" s="1"/>
  <c r="Q64" i="4"/>
  <c r="R64" i="4" s="1"/>
  <c r="V63" i="4"/>
  <c r="Q63" i="4"/>
  <c r="R63" i="4" s="1"/>
  <c r="V62" i="4"/>
  <c r="W62" i="4" s="1"/>
  <c r="Q62" i="4"/>
  <c r="R62" i="4" s="1"/>
  <c r="V61" i="4"/>
  <c r="Q61" i="4"/>
  <c r="R61" i="4" s="1"/>
  <c r="V60" i="4"/>
  <c r="W60" i="4" s="1"/>
  <c r="Q60" i="4"/>
  <c r="R60" i="4" s="1"/>
  <c r="V59" i="4"/>
  <c r="Q59" i="4"/>
  <c r="R59" i="4" s="1"/>
  <c r="W58" i="4"/>
  <c r="Q58" i="4"/>
  <c r="R58" i="4" s="1"/>
  <c r="V57" i="4"/>
  <c r="W57" i="4" s="1"/>
  <c r="Q57" i="4"/>
  <c r="R57" i="4" s="1"/>
  <c r="W56" i="4"/>
  <c r="Q56" i="4"/>
  <c r="R56" i="4" s="1"/>
  <c r="W55" i="4"/>
  <c r="Q55" i="4"/>
  <c r="R55" i="4" s="1"/>
  <c r="V54" i="4"/>
  <c r="W54" i="4" s="1"/>
  <c r="Q54" i="4"/>
  <c r="R54" i="4" s="1"/>
  <c r="V53" i="4"/>
  <c r="Q53" i="4"/>
  <c r="R53" i="4" s="1"/>
  <c r="V52" i="4"/>
  <c r="W52" i="4" s="1"/>
  <c r="Q52" i="4"/>
  <c r="R52" i="4" s="1"/>
  <c r="V51" i="4"/>
  <c r="Q51" i="4"/>
  <c r="R51" i="4" s="1"/>
  <c r="V50" i="4"/>
  <c r="W50" i="4" s="1"/>
  <c r="Q50" i="4"/>
  <c r="R50" i="4" s="1"/>
  <c r="V49" i="4"/>
  <c r="Q49" i="4"/>
  <c r="R49" i="4" s="1"/>
  <c r="V48" i="4"/>
  <c r="W48" i="4" s="1"/>
  <c r="Q48" i="4"/>
  <c r="R48" i="4" s="1"/>
  <c r="V47" i="4"/>
  <c r="Q47" i="4"/>
  <c r="R47" i="4" s="1"/>
  <c r="V46" i="4"/>
  <c r="W46" i="4" s="1"/>
  <c r="Q46" i="4"/>
  <c r="R46" i="4" s="1"/>
  <c r="W45" i="4"/>
  <c r="Q45" i="4"/>
  <c r="R45" i="4" s="1"/>
  <c r="V44" i="4"/>
  <c r="W44" i="4" s="1"/>
  <c r="Q44" i="4"/>
  <c r="R44" i="4" s="1"/>
  <c r="V43" i="4"/>
  <c r="W43" i="4" s="1"/>
  <c r="Q43" i="4"/>
  <c r="R43" i="4" s="1"/>
  <c r="V42" i="4"/>
  <c r="W42" i="4" s="1"/>
  <c r="Q42" i="4"/>
  <c r="R42" i="4" s="1"/>
  <c r="V41" i="4"/>
  <c r="W41" i="4" s="1"/>
  <c r="Q41" i="4"/>
  <c r="R41" i="4" s="1"/>
  <c r="V35" i="4"/>
  <c r="W35" i="4" s="1"/>
  <c r="Q35" i="4"/>
  <c r="R35" i="4" s="1"/>
  <c r="V34" i="4"/>
  <c r="W34" i="4" s="1"/>
  <c r="Q34" i="4"/>
  <c r="R34" i="4" s="1"/>
  <c r="V33" i="4"/>
  <c r="W33" i="4" s="1"/>
  <c r="Q33" i="4"/>
  <c r="R33" i="4" s="1"/>
  <c r="V32" i="4"/>
  <c r="W32" i="4" s="1"/>
  <c r="Q32" i="4"/>
  <c r="R32" i="4" s="1"/>
  <c r="V31" i="4"/>
  <c r="W31" i="4" s="1"/>
  <c r="Q31" i="4"/>
  <c r="R31" i="4" s="1"/>
  <c r="V30" i="4"/>
  <c r="W30" i="4" s="1"/>
  <c r="Q30" i="4"/>
  <c r="R30" i="4" s="1"/>
  <c r="V29" i="4"/>
  <c r="W29" i="4" s="1"/>
  <c r="Q29" i="4"/>
  <c r="R29" i="4" s="1"/>
  <c r="V28" i="4"/>
  <c r="W28" i="4" s="1"/>
  <c r="Q28" i="4"/>
  <c r="R28" i="4" s="1"/>
  <c r="V27" i="4"/>
  <c r="W27" i="4" s="1"/>
  <c r="Q27" i="4"/>
  <c r="R27" i="4" s="1"/>
  <c r="V26" i="4"/>
  <c r="Q26" i="4"/>
  <c r="R26" i="4" s="1"/>
  <c r="Q25" i="4"/>
  <c r="R25" i="4" s="1"/>
  <c r="V24" i="4"/>
  <c r="Q24" i="4"/>
  <c r="R24" i="4" s="1"/>
  <c r="BM23" i="4"/>
  <c r="BM24" i="4" s="1"/>
  <c r="BM26" i="4" s="1"/>
  <c r="BM27" i="4" s="1"/>
  <c r="BJ7" i="4" s="1"/>
  <c r="BJ23" i="4"/>
  <c r="BJ24" i="4" s="1"/>
  <c r="BJ26" i="4" s="1"/>
  <c r="BJ27" i="4" s="1"/>
  <c r="BI23" i="4"/>
  <c r="BI24" i="4" s="1"/>
  <c r="BI26" i="4" s="1"/>
  <c r="BI27" i="4" s="1"/>
  <c r="V23" i="4"/>
  <c r="Q23" i="4"/>
  <c r="R23" i="4" s="1"/>
  <c r="V22" i="4"/>
  <c r="W22" i="4" s="1"/>
  <c r="Q22" i="4"/>
  <c r="R22" i="4" s="1"/>
  <c r="V21" i="4"/>
  <c r="Q21" i="4"/>
  <c r="R21" i="4" s="1"/>
  <c r="Q17" i="4"/>
  <c r="R17" i="4" s="1"/>
  <c r="K17" i="4"/>
  <c r="V17" i="4" s="1"/>
  <c r="Q16" i="4"/>
  <c r="R16" i="4" s="1"/>
  <c r="K16" i="4"/>
  <c r="V16" i="4" s="1"/>
  <c r="Q15" i="4"/>
  <c r="R15" i="4" s="1"/>
  <c r="K15" i="4"/>
  <c r="V15" i="4" s="1"/>
  <c r="Q14" i="4"/>
  <c r="R14" i="4" s="1"/>
  <c r="K14" i="4"/>
  <c r="V14" i="4" s="1"/>
  <c r="W14" i="4" s="1"/>
  <c r="Q13" i="4"/>
  <c r="R13" i="4" s="1"/>
  <c r="K13" i="4"/>
  <c r="V13" i="4" s="1"/>
  <c r="W11" i="4"/>
  <c r="Q11" i="4"/>
  <c r="R11" i="4" s="1"/>
  <c r="V10" i="4"/>
  <c r="Q10" i="4"/>
  <c r="R10" i="4" s="1"/>
  <c r="Q9" i="4"/>
  <c r="R9" i="4" s="1"/>
  <c r="V8" i="4"/>
  <c r="W8" i="4" s="1"/>
  <c r="Q8" i="4"/>
  <c r="R8" i="4" s="1"/>
  <c r="V7" i="4"/>
  <c r="Q7" i="4"/>
  <c r="R7" i="4" s="1"/>
  <c r="V6" i="4"/>
  <c r="W6" i="4" s="1"/>
  <c r="Q6" i="4"/>
  <c r="R6" i="4" s="1"/>
  <c r="AO5" i="4"/>
  <c r="W5" i="4"/>
  <c r="Q5" i="4"/>
  <c r="R5" i="4" s="1"/>
  <c r="V4" i="4"/>
  <c r="W4" i="4" s="1"/>
  <c r="Q4" i="4"/>
  <c r="R4" i="4" s="1"/>
  <c r="W3" i="4"/>
  <c r="Q3" i="4"/>
  <c r="R3" i="4" s="1"/>
  <c r="V2" i="4"/>
  <c r="Q2" i="4"/>
  <c r="R2" i="4" s="1"/>
  <c r="AY23" i="2"/>
  <c r="AY24" i="2" s="1"/>
  <c r="AY26" i="2" s="1"/>
  <c r="AY27" i="2" s="1"/>
  <c r="BB23" i="2"/>
  <c r="BB24" i="2" s="1"/>
  <c r="BB26" i="2" s="1"/>
  <c r="BB27" i="2" s="1"/>
  <c r="AY7" i="2" s="1"/>
  <c r="AX23" i="2"/>
  <c r="AX24" i="2" s="1"/>
  <c r="AX26" i="2" s="1"/>
  <c r="AX27" i="2" s="1"/>
  <c r="H18" i="3"/>
  <c r="H17" i="3"/>
  <c r="H16" i="3"/>
  <c r="H15" i="3"/>
  <c r="H14" i="3"/>
  <c r="K14" i="2"/>
  <c r="V14" i="2" s="1"/>
  <c r="W14" i="2" s="1"/>
  <c r="K15" i="2"/>
  <c r="V15" i="2" s="1"/>
  <c r="K16" i="2"/>
  <c r="V16" i="2" s="1"/>
  <c r="K17" i="2"/>
  <c r="V17" i="2" s="1"/>
  <c r="K13" i="2"/>
  <c r="V13" i="2" s="1"/>
  <c r="W5" i="2"/>
  <c r="V6" i="2"/>
  <c r="W3" i="2"/>
  <c r="W6" i="2"/>
  <c r="W7" i="2"/>
  <c r="W8" i="2"/>
  <c r="W10" i="2"/>
  <c r="W11" i="2"/>
  <c r="W21" i="2"/>
  <c r="W27" i="2"/>
  <c r="W29" i="2"/>
  <c r="W30" i="2"/>
  <c r="W32" i="2"/>
  <c r="W33" i="2"/>
  <c r="W34" i="2"/>
  <c r="W44" i="2"/>
  <c r="W45" i="2"/>
  <c r="W46" i="2"/>
  <c r="W47" i="2"/>
  <c r="W48" i="2"/>
  <c r="W49" i="2"/>
  <c r="W50" i="2"/>
  <c r="W51" i="2"/>
  <c r="W55" i="2"/>
  <c r="W56" i="2"/>
  <c r="W58" i="2"/>
  <c r="W60" i="2"/>
  <c r="W61" i="2"/>
  <c r="W62" i="2"/>
  <c r="W63" i="2"/>
  <c r="V4" i="2"/>
  <c r="W4" i="2" s="1"/>
  <c r="V7" i="2"/>
  <c r="V8" i="2"/>
  <c r="V10" i="2"/>
  <c r="V21" i="2"/>
  <c r="V22" i="2"/>
  <c r="W22" i="2" s="1"/>
  <c r="V23" i="2"/>
  <c r="W23" i="2" s="1"/>
  <c r="V24" i="2"/>
  <c r="W24" i="2" s="1"/>
  <c r="V26" i="2"/>
  <c r="W26" i="2" s="1"/>
  <c r="V27" i="2"/>
  <c r="V28" i="2"/>
  <c r="W28" i="2" s="1"/>
  <c r="V29" i="2"/>
  <c r="V30" i="2"/>
  <c r="V31" i="2"/>
  <c r="W31" i="2" s="1"/>
  <c r="V32" i="2"/>
  <c r="V33" i="2"/>
  <c r="V34" i="2"/>
  <c r="V35" i="2"/>
  <c r="W35" i="2" s="1"/>
  <c r="V41" i="2"/>
  <c r="W41" i="2" s="1"/>
  <c r="V42" i="2"/>
  <c r="W42" i="2" s="1"/>
  <c r="V43" i="2"/>
  <c r="W43" i="2" s="1"/>
  <c r="V44" i="2"/>
  <c r="V46" i="2"/>
  <c r="V47" i="2"/>
  <c r="V48" i="2"/>
  <c r="V49" i="2"/>
  <c r="V50" i="2"/>
  <c r="V51" i="2"/>
  <c r="V52" i="2"/>
  <c r="W52" i="2" s="1"/>
  <c r="V53" i="2"/>
  <c r="W53" i="2" s="1"/>
  <c r="V54" i="2"/>
  <c r="W54" i="2" s="1"/>
  <c r="V57" i="2"/>
  <c r="W57" i="2" s="1"/>
  <c r="V59" i="2"/>
  <c r="W59" i="2" s="1"/>
  <c r="V60" i="2"/>
  <c r="V61" i="2"/>
  <c r="V62" i="2"/>
  <c r="V63" i="2"/>
  <c r="V64" i="2"/>
  <c r="W64" i="2" s="1"/>
  <c r="V65" i="2"/>
  <c r="W65" i="2" s="1"/>
  <c r="V2" i="2"/>
  <c r="W2" i="2" s="1"/>
  <c r="Q62" i="2"/>
  <c r="R62" i="2" s="1"/>
  <c r="Q63" i="2"/>
  <c r="R63" i="2" s="1"/>
  <c r="Q64" i="2"/>
  <c r="R64" i="2" s="1"/>
  <c r="Q65" i="2"/>
  <c r="R65" i="2" s="1"/>
  <c r="Q61" i="2"/>
  <c r="R61" i="2" s="1"/>
  <c r="Q57" i="2"/>
  <c r="R57" i="2" s="1"/>
  <c r="Q58" i="2"/>
  <c r="R58" i="2" s="1"/>
  <c r="Q59" i="2"/>
  <c r="R59" i="2" s="1"/>
  <c r="Q60" i="2"/>
  <c r="R60" i="2" s="1"/>
  <c r="Q56" i="2"/>
  <c r="R56" i="2" s="1"/>
  <c r="Q52" i="2"/>
  <c r="R52" i="2" s="1"/>
  <c r="Q53" i="2"/>
  <c r="R53" i="2" s="1"/>
  <c r="Q54" i="2"/>
  <c r="R54" i="2" s="1"/>
  <c r="Q55" i="2"/>
  <c r="R55" i="2" s="1"/>
  <c r="Q51" i="2"/>
  <c r="R51" i="2" s="1"/>
  <c r="Q47" i="2"/>
  <c r="R47" i="2" s="1"/>
  <c r="Q48" i="2"/>
  <c r="R48" i="2" s="1"/>
  <c r="Q49" i="2"/>
  <c r="R49" i="2" s="1"/>
  <c r="Q50" i="2"/>
  <c r="R50" i="2" s="1"/>
  <c r="Q46" i="2"/>
  <c r="R46" i="2" s="1"/>
  <c r="Q42" i="2"/>
  <c r="R42" i="2" s="1"/>
  <c r="Q43" i="2"/>
  <c r="R43" i="2" s="1"/>
  <c r="Q44" i="2"/>
  <c r="R44" i="2" s="1"/>
  <c r="Q45" i="2"/>
  <c r="R45" i="2" s="1"/>
  <c r="Q41" i="2"/>
  <c r="R41" i="2" s="1"/>
  <c r="Q32" i="2"/>
  <c r="R32" i="2" s="1"/>
  <c r="Q33" i="2"/>
  <c r="R33" i="2" s="1"/>
  <c r="Q34" i="2"/>
  <c r="R34" i="2" s="1"/>
  <c r="Q35" i="2"/>
  <c r="R35" i="2" s="1"/>
  <c r="Q31" i="2"/>
  <c r="R31" i="2" s="1"/>
  <c r="Q27" i="2"/>
  <c r="R27" i="2" s="1"/>
  <c r="Q28" i="2"/>
  <c r="R28" i="2" s="1"/>
  <c r="Q29" i="2"/>
  <c r="R29" i="2" s="1"/>
  <c r="Q30" i="2"/>
  <c r="R30" i="2" s="1"/>
  <c r="Q26" i="2"/>
  <c r="R26" i="2" s="1"/>
  <c r="Q22" i="2"/>
  <c r="R22" i="2" s="1"/>
  <c r="Q23" i="2"/>
  <c r="R23" i="2" s="1"/>
  <c r="Q24" i="2"/>
  <c r="R24" i="2" s="1"/>
  <c r="Q25" i="2"/>
  <c r="R25" i="2" s="1"/>
  <c r="Q21" i="2"/>
  <c r="R21" i="2" s="1"/>
  <c r="Q13" i="2"/>
  <c r="R13" i="2" s="1"/>
  <c r="Q14" i="2"/>
  <c r="R14" i="2" s="1"/>
  <c r="Q15" i="2"/>
  <c r="R15" i="2" s="1"/>
  <c r="Q16" i="2"/>
  <c r="R16" i="2" s="1"/>
  <c r="Q17" i="2"/>
  <c r="R17" i="2" s="1"/>
  <c r="Q8" i="2"/>
  <c r="R8" i="2" s="1"/>
  <c r="Q9" i="2"/>
  <c r="R9" i="2" s="1"/>
  <c r="Q10" i="2"/>
  <c r="R10" i="2" s="1"/>
  <c r="Q11" i="2"/>
  <c r="R11" i="2" s="1"/>
  <c r="Q7" i="2"/>
  <c r="R7" i="2" s="1"/>
  <c r="Q3" i="2"/>
  <c r="R3" i="2" s="1"/>
  <c r="Q4" i="2"/>
  <c r="R4" i="2" s="1"/>
  <c r="Q5" i="2"/>
  <c r="R5" i="2" s="1"/>
  <c r="Q6" i="2"/>
  <c r="R6" i="2" s="1"/>
  <c r="Q2" i="2"/>
  <c r="R2" i="2" s="1"/>
  <c r="AD5" i="2"/>
  <c r="AG65" i="4" l="1"/>
  <c r="AG10" i="4"/>
  <c r="AG11" i="4"/>
  <c r="AG26" i="4"/>
  <c r="AG27" i="4"/>
  <c r="AG43" i="4"/>
  <c r="AG44" i="4"/>
  <c r="AG55" i="4"/>
  <c r="AG56" i="4"/>
  <c r="AG42" i="4"/>
  <c r="AG54" i="4"/>
  <c r="AG28" i="4"/>
  <c r="AG45" i="4"/>
  <c r="AG57" i="4"/>
  <c r="AG46" i="4"/>
  <c r="AG58" i="4"/>
  <c r="AG2" i="4"/>
  <c r="AG30" i="4"/>
  <c r="AG47" i="4"/>
  <c r="AG59" i="4"/>
  <c r="AG3" i="4"/>
  <c r="AG31" i="4"/>
  <c r="AG48" i="4"/>
  <c r="AG60" i="4"/>
  <c r="AG32" i="4"/>
  <c r="AG49" i="4"/>
  <c r="AG61" i="4"/>
  <c r="AG5" i="4"/>
  <c r="AG21" i="4"/>
  <c r="AG33" i="4"/>
  <c r="AG50" i="4"/>
  <c r="AG62" i="4"/>
  <c r="AG22" i="4"/>
  <c r="AG51" i="4"/>
  <c r="AG63" i="4"/>
  <c r="AG7" i="4"/>
  <c r="AG23" i="4"/>
  <c r="AG35" i="4"/>
  <c r="AG52" i="4"/>
  <c r="AG64" i="4"/>
  <c r="AG8" i="4"/>
  <c r="AG24" i="4"/>
  <c r="AG41" i="4"/>
  <c r="AG53" i="4"/>
  <c r="U16" i="4"/>
  <c r="U13" i="4"/>
  <c r="U2" i="4"/>
  <c r="AF2" i="4" s="1"/>
  <c r="U14" i="4"/>
  <c r="U31" i="4"/>
  <c r="AF31" i="4" s="1"/>
  <c r="U4" i="4"/>
  <c r="U9" i="4"/>
  <c r="U33" i="4"/>
  <c r="AF33" i="4" s="1"/>
  <c r="U5" i="4"/>
  <c r="AF5" i="4" s="1"/>
  <c r="U11" i="4"/>
  <c r="AF11" i="4" s="1"/>
  <c r="U55" i="4"/>
  <c r="AF55" i="4" s="1"/>
  <c r="U3" i="4"/>
  <c r="AF3" i="4" s="1"/>
  <c r="U57" i="4"/>
  <c r="AF57" i="4" s="1"/>
  <c r="W16" i="4"/>
  <c r="BI13" i="4"/>
  <c r="BI14" i="4"/>
  <c r="BI7" i="4"/>
  <c r="BI15" i="4"/>
  <c r="BI10" i="4"/>
  <c r="BI8" i="4"/>
  <c r="BI12" i="4"/>
  <c r="BI11" i="4"/>
  <c r="BI9" i="4"/>
  <c r="W13" i="4"/>
  <c r="BN7" i="4"/>
  <c r="BN15" i="4"/>
  <c r="BN10" i="4"/>
  <c r="BN14" i="4"/>
  <c r="BN8" i="4"/>
  <c r="BN12" i="4"/>
  <c r="BN11" i="4"/>
  <c r="BN9" i="4"/>
  <c r="BN13" i="4"/>
  <c r="W15" i="4"/>
  <c r="W17" i="4"/>
  <c r="W26" i="4"/>
  <c r="W59" i="4"/>
  <c r="W61" i="4"/>
  <c r="W2" i="4"/>
  <c r="U41" i="4"/>
  <c r="AF41" i="4" s="1"/>
  <c r="U43" i="4"/>
  <c r="AF43" i="4" s="1"/>
  <c r="U45" i="4"/>
  <c r="AF45" i="4" s="1"/>
  <c r="W63" i="4"/>
  <c r="U7" i="4"/>
  <c r="AF7" i="4" s="1"/>
  <c r="U10" i="4"/>
  <c r="AF10" i="4" s="1"/>
  <c r="U15" i="4"/>
  <c r="W21" i="4"/>
  <c r="W23" i="4"/>
  <c r="U30" i="4"/>
  <c r="AF30" i="4" s="1"/>
  <c r="U32" i="4"/>
  <c r="AF32" i="4" s="1"/>
  <c r="U34" i="4"/>
  <c r="W47" i="4"/>
  <c r="W49" i="4"/>
  <c r="W51" i="4"/>
  <c r="W53" i="4"/>
  <c r="U28" i="4"/>
  <c r="AF28" i="4" s="1"/>
  <c r="U60" i="4"/>
  <c r="AF60" i="4" s="1"/>
  <c r="U62" i="4"/>
  <c r="AF62" i="4" s="1"/>
  <c r="U64" i="4"/>
  <c r="AF64" i="4" s="1"/>
  <c r="W7" i="4"/>
  <c r="W10" i="4"/>
  <c r="U58" i="4"/>
  <c r="AF58" i="4" s="1"/>
  <c r="U56" i="4"/>
  <c r="AF56" i="4" s="1"/>
  <c r="AO7" i="4"/>
  <c r="AO9" i="4" s="1"/>
  <c r="U17" i="4"/>
  <c r="U22" i="4"/>
  <c r="AF22" i="4" s="1"/>
  <c r="U25" i="4"/>
  <c r="U27" i="4"/>
  <c r="AF27" i="4" s="1"/>
  <c r="U46" i="4"/>
  <c r="AF46" i="4" s="1"/>
  <c r="U48" i="4"/>
  <c r="AF48" i="4" s="1"/>
  <c r="U50" i="4"/>
  <c r="AF50" i="4" s="1"/>
  <c r="U52" i="4"/>
  <c r="AF52" i="4" s="1"/>
  <c r="U54" i="4"/>
  <c r="AF54" i="4" s="1"/>
  <c r="W24" i="4"/>
  <c r="U35" i="4"/>
  <c r="AF35" i="4" s="1"/>
  <c r="U42" i="4"/>
  <c r="AF42" i="4" s="1"/>
  <c r="U44" i="4"/>
  <c r="AF44" i="4" s="1"/>
  <c r="U6" i="4"/>
  <c r="U24" i="4"/>
  <c r="AF24" i="4" s="1"/>
  <c r="U26" i="4"/>
  <c r="AF26" i="4" s="1"/>
  <c r="U29" i="4"/>
  <c r="U59" i="4"/>
  <c r="AF59" i="4" s="1"/>
  <c r="U61" i="4"/>
  <c r="AF61" i="4" s="1"/>
  <c r="U63" i="4"/>
  <c r="AF63" i="4" s="1"/>
  <c r="U65" i="4"/>
  <c r="AF65" i="4" s="1"/>
  <c r="W65" i="4"/>
  <c r="U8" i="4"/>
  <c r="AF8" i="4" s="1"/>
  <c r="U21" i="4"/>
  <c r="AF21" i="4" s="1"/>
  <c r="U23" i="4"/>
  <c r="AF23" i="4" s="1"/>
  <c r="U47" i="4"/>
  <c r="AF47" i="4" s="1"/>
  <c r="U49" i="4"/>
  <c r="AF49" i="4" s="1"/>
  <c r="U51" i="4"/>
  <c r="AF51" i="4" s="1"/>
  <c r="U53" i="4"/>
  <c r="AF53" i="4" s="1"/>
  <c r="AX11" i="2"/>
  <c r="AX7" i="2"/>
  <c r="AX8" i="2"/>
  <c r="AX9" i="2"/>
  <c r="AX10" i="2"/>
  <c r="BC7" i="2"/>
  <c r="BC8" i="2"/>
  <c r="BC9" i="2"/>
  <c r="BC10" i="2"/>
  <c r="BC11" i="2"/>
  <c r="BC12" i="2"/>
  <c r="BC13" i="2"/>
  <c r="BC14" i="2"/>
  <c r="BC15" i="2"/>
  <c r="AX15" i="2"/>
  <c r="AX14" i="2"/>
  <c r="AX13" i="2"/>
  <c r="AX12" i="2"/>
  <c r="W17" i="2"/>
  <c r="X17" i="2"/>
  <c r="W16" i="2"/>
  <c r="X16" i="2"/>
  <c r="W15" i="2"/>
  <c r="W13" i="2"/>
  <c r="U62" i="2"/>
  <c r="AD7" i="2"/>
  <c r="AD9" i="2" s="1"/>
  <c r="U4" i="2"/>
  <c r="U31" i="2"/>
  <c r="U32" i="2"/>
  <c r="U2" i="2"/>
  <c r="U3" i="2"/>
  <c r="U11" i="2"/>
  <c r="U41" i="2"/>
  <c r="U10" i="2"/>
  <c r="U45" i="2"/>
  <c r="U9" i="2"/>
  <c r="U17" i="2"/>
  <c r="U44" i="2"/>
  <c r="U33" i="2"/>
  <c r="U7" i="2"/>
  <c r="U8" i="2"/>
  <c r="U16" i="2"/>
  <c r="U50" i="2"/>
  <c r="U26" i="2"/>
  <c r="U15" i="2"/>
  <c r="X15" i="2" s="1"/>
  <c r="U43" i="2"/>
  <c r="U49" i="2"/>
  <c r="U55" i="2"/>
  <c r="U5" i="2"/>
  <c r="U27" i="2"/>
  <c r="U14" i="2"/>
  <c r="X14" i="2" s="1"/>
  <c r="U42" i="2"/>
  <c r="U48" i="2"/>
  <c r="U54" i="2"/>
  <c r="U60" i="2"/>
  <c r="U13" i="2"/>
  <c r="X13" i="2" s="1"/>
  <c r="U25" i="2"/>
  <c r="U46" i="2"/>
  <c r="U47" i="2"/>
  <c r="U53" i="2"/>
  <c r="U59" i="2"/>
  <c r="U65" i="2"/>
  <c r="U24" i="2"/>
  <c r="U30" i="2"/>
  <c r="U51" i="2"/>
  <c r="U52" i="2"/>
  <c r="U58" i="2"/>
  <c r="U64" i="2"/>
  <c r="U23" i="2"/>
  <c r="U29" i="2"/>
  <c r="U35" i="2"/>
  <c r="U56" i="2"/>
  <c r="U57" i="2"/>
  <c r="U63" i="2"/>
  <c r="U6" i="2"/>
  <c r="U21" i="2"/>
  <c r="U22" i="2"/>
  <c r="U28" i="2"/>
  <c r="U34" i="2"/>
  <c r="U61" i="2"/>
  <c r="X3" i="2" l="1"/>
  <c r="X26" i="2"/>
  <c r="X10" i="2"/>
  <c r="X23" i="2"/>
  <c r="X41" i="2"/>
  <c r="X61" i="2"/>
  <c r="X64" i="2"/>
  <c r="X11" i="2"/>
  <c r="X5" i="2"/>
  <c r="X56" i="2"/>
  <c r="X47" i="2"/>
  <c r="X60" i="2"/>
  <c r="X28" i="2"/>
  <c r="X22" i="2"/>
  <c r="X48" i="2"/>
  <c r="X8" i="2"/>
  <c r="X32" i="2"/>
  <c r="X49" i="2"/>
  <c r="X46" i="2"/>
  <c r="X58" i="2"/>
  <c r="X50" i="2"/>
  <c r="X52" i="2"/>
  <c r="X54" i="2"/>
  <c r="X2" i="2"/>
  <c r="X51" i="2"/>
  <c r="X21" i="2"/>
  <c r="X30" i="2"/>
  <c r="X42" i="2"/>
  <c r="X7" i="2"/>
  <c r="X31" i="2"/>
  <c r="X57" i="2"/>
  <c r="X59" i="2"/>
  <c r="X62" i="2"/>
  <c r="X53" i="2"/>
  <c r="X55" i="2"/>
  <c r="X35" i="2"/>
  <c r="X45" i="2"/>
  <c r="X43" i="2"/>
  <c r="X24" i="2"/>
  <c r="X33" i="2"/>
  <c r="X63" i="2"/>
  <c r="X65" i="2"/>
  <c r="X27" i="2"/>
  <c r="X44" i="2"/>
</calcChain>
</file>

<file path=xl/sharedStrings.xml><?xml version="1.0" encoding="utf-8"?>
<sst xmlns="http://schemas.openxmlformats.org/spreadsheetml/2006/main" count="522" uniqueCount="85">
  <si>
    <t xml:space="preserve">Date </t>
  </si>
  <si>
    <t xml:space="preserve">No. of Hole </t>
  </si>
  <si>
    <t xml:space="preserve">No. of Row </t>
  </si>
  <si>
    <t xml:space="preserve">Spacing </t>
  </si>
  <si>
    <t xml:space="preserve">Depth of Hole  </t>
  </si>
  <si>
    <t>Blast No.</t>
  </si>
  <si>
    <t xml:space="preserve">Seam location </t>
  </si>
  <si>
    <t xml:space="preserve">Vibromater </t>
  </si>
  <si>
    <t xml:space="preserve">Distance </t>
  </si>
  <si>
    <t xml:space="preserve">Blast Timing </t>
  </si>
  <si>
    <t>31.10.25</t>
  </si>
  <si>
    <t xml:space="preserve">Explosion </t>
  </si>
  <si>
    <t xml:space="preserve">Per Hole </t>
  </si>
  <si>
    <t>350kg</t>
  </si>
  <si>
    <t>6m</t>
  </si>
  <si>
    <t>5m</t>
  </si>
  <si>
    <t xml:space="preserve">2:30pm </t>
  </si>
  <si>
    <t>01.11.25</t>
  </si>
  <si>
    <t>2:30,2:45</t>
  </si>
  <si>
    <t>3m</t>
  </si>
  <si>
    <t>65kg</t>
  </si>
  <si>
    <t>Seam-3</t>
  </si>
  <si>
    <t>02.11.25</t>
  </si>
  <si>
    <t xml:space="preserve">30 to 34kg </t>
  </si>
  <si>
    <t>Seam Top -5</t>
  </si>
  <si>
    <t>02:36,2:38</t>
  </si>
  <si>
    <t>03.11.25</t>
  </si>
  <si>
    <t>25kg</t>
  </si>
  <si>
    <t>250kg</t>
  </si>
  <si>
    <t>4.5m</t>
  </si>
  <si>
    <t xml:space="preserve">Seam 4 Floor </t>
  </si>
  <si>
    <t>04.11.25</t>
  </si>
  <si>
    <t>4m</t>
  </si>
  <si>
    <t xml:space="preserve">Seam 5 Floor </t>
  </si>
  <si>
    <t xml:space="preserve">PPV </t>
  </si>
  <si>
    <t>05.11.25</t>
  </si>
  <si>
    <t>4.5M</t>
  </si>
  <si>
    <t xml:space="preserve">40 Coal Top </t>
  </si>
  <si>
    <t>3600kg</t>
  </si>
  <si>
    <t>43kg</t>
  </si>
  <si>
    <t>Seam Top -3</t>
  </si>
  <si>
    <t>3:25pm</t>
  </si>
  <si>
    <t>3:22pm</t>
  </si>
  <si>
    <t>06.11.25</t>
  </si>
  <si>
    <t xml:space="preserve">50kg </t>
  </si>
  <si>
    <t xml:space="preserve">Seam 3 floor </t>
  </si>
  <si>
    <t>2:16pm</t>
  </si>
  <si>
    <t>45kg</t>
  </si>
  <si>
    <t>6.11.25</t>
  </si>
  <si>
    <t xml:space="preserve">Seam 5floor </t>
  </si>
  <si>
    <t>2:36pm</t>
  </si>
  <si>
    <t>07.11.25</t>
  </si>
  <si>
    <t>3.5m</t>
  </si>
  <si>
    <t xml:space="preserve">Seam 4Floor </t>
  </si>
  <si>
    <t>08.11.25</t>
  </si>
  <si>
    <t>35kg</t>
  </si>
  <si>
    <t>Frequency</t>
  </si>
  <si>
    <t>SD</t>
  </si>
  <si>
    <t>Q</t>
  </si>
  <si>
    <t>D</t>
  </si>
  <si>
    <t>T</t>
  </si>
  <si>
    <t>L</t>
  </si>
  <si>
    <t>N</t>
  </si>
  <si>
    <t>TQ</t>
  </si>
  <si>
    <t>SD-TQ</t>
  </si>
  <si>
    <t>Distance</t>
  </si>
  <si>
    <t>Radial distance (m)</t>
  </si>
  <si>
    <t>Maximum Charge per Delay (kg)</t>
  </si>
  <si>
    <t>For Domestic houses/structures (Kuchha brick and cement) not belonging to the owner (Allowable PPV (mm/s) as 5 mm/s)</t>
  </si>
  <si>
    <t>PPV</t>
  </si>
  <si>
    <t>K</t>
  </si>
  <si>
    <t>ppv/k</t>
  </si>
  <si>
    <t>log(ppv/k)</t>
  </si>
  <si>
    <t>b</t>
  </si>
  <si>
    <t>log(R/Q^0.5)</t>
  </si>
  <si>
    <t>R/Q^0.5</t>
  </si>
  <si>
    <t>Burden</t>
  </si>
  <si>
    <t>Spacing</t>
  </si>
  <si>
    <t>Depth</t>
  </si>
  <si>
    <t>Hole diameter</t>
  </si>
  <si>
    <t xml:space="preserve">3.0 – 4.0 </t>
  </si>
  <si>
    <t>4.0 – 5.0</t>
  </si>
  <si>
    <t>3.0-6.0</t>
  </si>
  <si>
    <t>3.0 – 4.0</t>
  </si>
  <si>
    <t>Distance (meters)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</si>
</sst>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164" fontId="0" fillId="0" borderId="0" xfId="0" applyNumberFormat="1"/>
    <xf numFmtId="1" fontId="0" fillId="0" borderId="0" xfId="0" applyNumberFormat="1"/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" fontId="2" fillId="0" borderId="4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 wrapText="1"/>
    </xf>
    <xf numFmtId="16" fontId="3" fillId="0" borderId="4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5035433070866144E-2"/>
                  <c:y val="-0.604842519685039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'Sheet1 (3)'!$W$2:$W$65</c:f>
              <c:numCache>
                <c:formatCode>General</c:formatCode>
                <c:ptCount val="64"/>
                <c:pt idx="0">
                  <c:v>6.324555320336759</c:v>
                </c:pt>
                <c:pt idx="1">
                  <c:v>4.7434164902525691</c:v>
                </c:pt>
                <c:pt idx="2">
                  <c:v>7.4313525013956916</c:v>
                </c:pt>
                <c:pt idx="3">
                  <c:v>2.3717082451262845</c:v>
                </c:pt>
                <c:pt idx="4">
                  <c:v>1.8973665961010275</c:v>
                </c:pt>
                <c:pt idx="5">
                  <c:v>3.892494720807615</c:v>
                </c:pt>
                <c:pt idx="6">
                  <c:v>2.59499648053841</c:v>
                </c:pt>
                <c:pt idx="8">
                  <c:v>10.37998592215364</c:v>
                </c:pt>
                <c:pt idx="9">
                  <c:v>3.6329950727537743</c:v>
                </c:pt>
                <c:pt idx="11">
                  <c:v>7.7689859606735592</c:v>
                </c:pt>
                <c:pt idx="12">
                  <c:v>6.7729621195615639</c:v>
                </c:pt>
                <c:pt idx="13">
                  <c:v>4.7809144373375752</c:v>
                </c:pt>
                <c:pt idx="14">
                  <c:v>12.749105166233532</c:v>
                </c:pt>
                <c:pt idx="15">
                  <c:v>9.7610336428975479</c:v>
                </c:pt>
                <c:pt idx="19">
                  <c:v>5.833333333333333</c:v>
                </c:pt>
                <c:pt idx="20">
                  <c:v>3.3333333333333335</c:v>
                </c:pt>
                <c:pt idx="21">
                  <c:v>4.166666666666667</c:v>
                </c:pt>
                <c:pt idx="22">
                  <c:v>4.166666666666667</c:v>
                </c:pt>
                <c:pt idx="24">
                  <c:v>7.5</c:v>
                </c:pt>
                <c:pt idx="25">
                  <c:v>6.666666666666667</c:v>
                </c:pt>
                <c:pt idx="26">
                  <c:v>6.333333333333333</c:v>
                </c:pt>
                <c:pt idx="27">
                  <c:v>6.333333333333333</c:v>
                </c:pt>
                <c:pt idx="28">
                  <c:v>5</c:v>
                </c:pt>
                <c:pt idx="29">
                  <c:v>8.6602540378443855</c:v>
                </c:pt>
                <c:pt idx="30">
                  <c:v>9.0451542173041375</c:v>
                </c:pt>
                <c:pt idx="31">
                  <c:v>8.0829037686547611</c:v>
                </c:pt>
                <c:pt idx="32">
                  <c:v>8.4678039481145113</c:v>
                </c:pt>
                <c:pt idx="33">
                  <c:v>7.69800358919501</c:v>
                </c:pt>
                <c:pt idx="39">
                  <c:v>9.0156114601284809</c:v>
                </c:pt>
                <c:pt idx="40">
                  <c:v>8.4852813742385695</c:v>
                </c:pt>
                <c:pt idx="41">
                  <c:v>8.1317279836452965</c:v>
                </c:pt>
                <c:pt idx="42">
                  <c:v>6.1871843353822902</c:v>
                </c:pt>
                <c:pt idx="43">
                  <c:v>2.8284271247461898</c:v>
                </c:pt>
                <c:pt idx="44">
                  <c:v>6.8787089523776608</c:v>
                </c:pt>
                <c:pt idx="45">
                  <c:v>7.1777832546549503</c:v>
                </c:pt>
                <c:pt idx="46">
                  <c:v>7.1777832546549503</c:v>
                </c:pt>
                <c:pt idx="47">
                  <c:v>7.0282461035163051</c:v>
                </c:pt>
                <c:pt idx="48">
                  <c:v>6.7291718012390156</c:v>
                </c:pt>
                <c:pt idx="49">
                  <c:v>9.4499907714978928</c:v>
                </c:pt>
                <c:pt idx="50">
                  <c:v>9.8437403869769717</c:v>
                </c:pt>
                <c:pt idx="51">
                  <c:v>10.040615194716512</c:v>
                </c:pt>
                <c:pt idx="52">
                  <c:v>9.6468655792374332</c:v>
                </c:pt>
                <c:pt idx="53">
                  <c:v>7.8749923095815779</c:v>
                </c:pt>
                <c:pt idx="54">
                  <c:v>4.4757179627464554</c:v>
                </c:pt>
                <c:pt idx="55">
                  <c:v>6.4450338663548958</c:v>
                </c:pt>
                <c:pt idx="56">
                  <c:v>2.6854307776478734</c:v>
                </c:pt>
                <c:pt idx="57">
                  <c:v>5.3708615552957468</c:v>
                </c:pt>
                <c:pt idx="58">
                  <c:v>7.1611487403943288</c:v>
                </c:pt>
                <c:pt idx="59">
                  <c:v>5.665747474468346</c:v>
                </c:pt>
                <c:pt idx="60">
                  <c:v>6.4563168895104415</c:v>
                </c:pt>
                <c:pt idx="61">
                  <c:v>5.9292706128157109</c:v>
                </c:pt>
                <c:pt idx="62">
                  <c:v>5.5998666898815053</c:v>
                </c:pt>
                <c:pt idx="63">
                  <c:v>5.2704627669472988</c:v>
                </c:pt>
              </c:numCache>
            </c:numRef>
          </c:xVal>
          <c:yVal>
            <c:numRef>
              <c:f>'Sheet1 (3)'!$AJ$2:$AJ$65</c:f>
              <c:numCache>
                <c:formatCode>General</c:formatCode>
                <c:ptCount val="64"/>
                <c:pt idx="0">
                  <c:v>4.8259999999999996</c:v>
                </c:pt>
                <c:pt idx="1">
                  <c:v>5.28</c:v>
                </c:pt>
                <c:pt idx="3">
                  <c:v>13.28</c:v>
                </c:pt>
                <c:pt idx="5">
                  <c:v>8.8179999999999996</c:v>
                </c:pt>
                <c:pt idx="6">
                  <c:v>17.34</c:v>
                </c:pt>
                <c:pt idx="8">
                  <c:v>3.5430000000000001</c:v>
                </c:pt>
                <c:pt idx="9">
                  <c:v>7.24</c:v>
                </c:pt>
                <c:pt idx="19">
                  <c:v>2.0089999999999999</c:v>
                </c:pt>
                <c:pt idx="20">
                  <c:v>4.3259999999999996</c:v>
                </c:pt>
                <c:pt idx="21">
                  <c:v>2.9580000000000002</c:v>
                </c:pt>
                <c:pt idx="22">
                  <c:v>3.1749999999999998</c:v>
                </c:pt>
                <c:pt idx="24">
                  <c:v>1.637</c:v>
                </c:pt>
                <c:pt idx="25">
                  <c:v>3.7909999999999999</c:v>
                </c:pt>
                <c:pt idx="26">
                  <c:v>3.7530000000000001</c:v>
                </c:pt>
                <c:pt idx="28">
                  <c:v>3.331</c:v>
                </c:pt>
                <c:pt idx="29">
                  <c:v>1.829</c:v>
                </c:pt>
                <c:pt idx="30">
                  <c:v>1.5760000000000001</c:v>
                </c:pt>
                <c:pt idx="31">
                  <c:v>1.8240000000000001</c:v>
                </c:pt>
                <c:pt idx="33">
                  <c:v>1.964</c:v>
                </c:pt>
                <c:pt idx="39">
                  <c:v>1.9790000000000001</c:v>
                </c:pt>
                <c:pt idx="40">
                  <c:v>2.31</c:v>
                </c:pt>
                <c:pt idx="41">
                  <c:v>2.9940000000000002</c:v>
                </c:pt>
                <c:pt idx="42">
                  <c:v>5.0609999999999999</c:v>
                </c:pt>
                <c:pt idx="43">
                  <c:v>7.3769999999999998</c:v>
                </c:pt>
                <c:pt idx="44">
                  <c:v>1.6930000000000001</c:v>
                </c:pt>
                <c:pt idx="45">
                  <c:v>1.3540000000000001</c:v>
                </c:pt>
                <c:pt idx="46">
                  <c:v>1.405</c:v>
                </c:pt>
                <c:pt idx="47">
                  <c:v>1.69</c:v>
                </c:pt>
                <c:pt idx="48">
                  <c:v>1.796</c:v>
                </c:pt>
                <c:pt idx="49">
                  <c:v>3.3639999999999999</c:v>
                </c:pt>
                <c:pt idx="50">
                  <c:v>3.7130000000000001</c:v>
                </c:pt>
                <c:pt idx="51">
                  <c:v>3.0779999999999998</c:v>
                </c:pt>
                <c:pt idx="52">
                  <c:v>3.8119999999999998</c:v>
                </c:pt>
                <c:pt idx="53">
                  <c:v>4.3780000000000001</c:v>
                </c:pt>
                <c:pt idx="54">
                  <c:v>5.7469999999999999</c:v>
                </c:pt>
                <c:pt idx="55">
                  <c:v>4.5819999999999999</c:v>
                </c:pt>
                <c:pt idx="56">
                  <c:v>7.0810000000000004</c:v>
                </c:pt>
                <c:pt idx="57">
                  <c:v>5.12</c:v>
                </c:pt>
                <c:pt idx="58">
                  <c:v>3.3050000000000002</c:v>
                </c:pt>
                <c:pt idx="59">
                  <c:v>1.786</c:v>
                </c:pt>
                <c:pt idx="60">
                  <c:v>1.5029999999999999</c:v>
                </c:pt>
                <c:pt idx="61">
                  <c:v>1.7589999999999999</c:v>
                </c:pt>
                <c:pt idx="62">
                  <c:v>1.7689999999999999</c:v>
                </c:pt>
                <c:pt idx="63">
                  <c:v>2.577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D2-4EEB-A02B-71B655FDF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015743"/>
        <c:axId val="1245005183"/>
      </c:scatterChart>
      <c:valAx>
        <c:axId val="124501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005183"/>
        <c:crosses val="autoZero"/>
        <c:crossBetween val="midCat"/>
      </c:valAx>
      <c:valAx>
        <c:axId val="12450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01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3589676290463691E-2"/>
                  <c:y val="-0.579676290463692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'Sheet1 (3)'!$AF$2:$AF$65</c:f>
              <c:numCache>
                <c:formatCode>General</c:formatCode>
                <c:ptCount val="64"/>
                <c:pt idx="0">
                  <c:v>63.45160979984442</c:v>
                </c:pt>
                <c:pt idx="1">
                  <c:v>47.588707349883315</c:v>
                </c:pt>
                <c:pt idx="3">
                  <c:v>23.794353674941657</c:v>
                </c:pt>
                <c:pt idx="5">
                  <c:v>26.065408498042984</c:v>
                </c:pt>
                <c:pt idx="6">
                  <c:v>17.376938998695323</c:v>
                </c:pt>
                <c:pt idx="8">
                  <c:v>69.507755994781292</c:v>
                </c:pt>
                <c:pt idx="9">
                  <c:v>24.327714598173454</c:v>
                </c:pt>
                <c:pt idx="19">
                  <c:v>55.520158574863871</c:v>
                </c:pt>
                <c:pt idx="20">
                  <c:v>31.72580489992221</c:v>
                </c:pt>
                <c:pt idx="21">
                  <c:v>39.657256124902766</c:v>
                </c:pt>
                <c:pt idx="22">
                  <c:v>39.657256124902766</c:v>
                </c:pt>
                <c:pt idx="24">
                  <c:v>74.557175628864385</c:v>
                </c:pt>
                <c:pt idx="25">
                  <c:v>66.273045003435016</c:v>
                </c:pt>
                <c:pt idx="26">
                  <c:v>62.959392753263266</c:v>
                </c:pt>
                <c:pt idx="28">
                  <c:v>49.704783752576262</c:v>
                </c:pt>
                <c:pt idx="29">
                  <c:v>82.426058996524361</c:v>
                </c:pt>
                <c:pt idx="30">
                  <c:v>86.089439396369897</c:v>
                </c:pt>
                <c:pt idx="31">
                  <c:v>76.930988396756078</c:v>
                </c:pt>
                <c:pt idx="33">
                  <c:v>73.267607996910542</c:v>
                </c:pt>
                <c:pt idx="39">
                  <c:v>80.900802494801638</c:v>
                </c:pt>
                <c:pt idx="40">
                  <c:v>76.141931759813303</c:v>
                </c:pt>
                <c:pt idx="41">
                  <c:v>72.96935126982109</c:v>
                </c:pt>
                <c:pt idx="42">
                  <c:v>55.520158574863871</c:v>
                </c:pt>
                <c:pt idx="43">
                  <c:v>25.380643919937768</c:v>
                </c:pt>
                <c:pt idx="44">
                  <c:v>70.106685019148031</c:v>
                </c:pt>
                <c:pt idx="45">
                  <c:v>73.154801759110995</c:v>
                </c:pt>
                <c:pt idx="46">
                  <c:v>73.154801759110995</c:v>
                </c:pt>
                <c:pt idx="47">
                  <c:v>71.63074338912952</c:v>
                </c:pt>
                <c:pt idx="48">
                  <c:v>68.582626649166556</c:v>
                </c:pt>
                <c:pt idx="49">
                  <c:v>73.154801759110995</c:v>
                </c:pt>
                <c:pt idx="50">
                  <c:v>76.202918499073945</c:v>
                </c:pt>
                <c:pt idx="51">
                  <c:v>77.726976869055434</c:v>
                </c:pt>
                <c:pt idx="52">
                  <c:v>74.67886012909247</c:v>
                </c:pt>
                <c:pt idx="53">
                  <c:v>60.96233479925916</c:v>
                </c:pt>
                <c:pt idx="54">
                  <c:v>48.57002105243734</c:v>
                </c:pt>
                <c:pt idx="55">
                  <c:v>69.940830315509771</c:v>
                </c:pt>
                <c:pt idx="56">
                  <c:v>29.142012631462404</c:v>
                </c:pt>
                <c:pt idx="57">
                  <c:v>58.284025262924807</c:v>
                </c:pt>
                <c:pt idx="58">
                  <c:v>77.712033683899747</c:v>
                </c:pt>
                <c:pt idx="59">
                  <c:v>71.243523378692643</c:v>
                </c:pt>
                <c:pt idx="60">
                  <c:v>81.184480129207898</c:v>
                </c:pt>
                <c:pt idx="61">
                  <c:v>74.557175628864385</c:v>
                </c:pt>
                <c:pt idx="62">
                  <c:v>70.415110316149708</c:v>
                </c:pt>
                <c:pt idx="63">
                  <c:v>66.273045003435016</c:v>
                </c:pt>
              </c:numCache>
            </c:numRef>
          </c:xVal>
          <c:yVal>
            <c:numRef>
              <c:f>'Sheet1 (3)'!$AJ$2:$AJ$65</c:f>
              <c:numCache>
                <c:formatCode>General</c:formatCode>
                <c:ptCount val="64"/>
                <c:pt idx="0">
                  <c:v>4.8259999999999996</c:v>
                </c:pt>
                <c:pt idx="1">
                  <c:v>5.28</c:v>
                </c:pt>
                <c:pt idx="3">
                  <c:v>13.28</c:v>
                </c:pt>
                <c:pt idx="5">
                  <c:v>8.8179999999999996</c:v>
                </c:pt>
                <c:pt idx="6">
                  <c:v>17.34</c:v>
                </c:pt>
                <c:pt idx="8">
                  <c:v>3.5430000000000001</c:v>
                </c:pt>
                <c:pt idx="9">
                  <c:v>7.24</c:v>
                </c:pt>
                <c:pt idx="19">
                  <c:v>2.0089999999999999</c:v>
                </c:pt>
                <c:pt idx="20">
                  <c:v>4.3259999999999996</c:v>
                </c:pt>
                <c:pt idx="21">
                  <c:v>2.9580000000000002</c:v>
                </c:pt>
                <c:pt idx="22">
                  <c:v>3.1749999999999998</c:v>
                </c:pt>
                <c:pt idx="24">
                  <c:v>1.637</c:v>
                </c:pt>
                <c:pt idx="25">
                  <c:v>3.7909999999999999</c:v>
                </c:pt>
                <c:pt idx="26">
                  <c:v>3.7530000000000001</c:v>
                </c:pt>
                <c:pt idx="28">
                  <c:v>3.331</c:v>
                </c:pt>
                <c:pt idx="29">
                  <c:v>1.829</c:v>
                </c:pt>
                <c:pt idx="30">
                  <c:v>1.5760000000000001</c:v>
                </c:pt>
                <c:pt idx="31">
                  <c:v>1.8240000000000001</c:v>
                </c:pt>
                <c:pt idx="33">
                  <c:v>1.964</c:v>
                </c:pt>
                <c:pt idx="39">
                  <c:v>1.9790000000000001</c:v>
                </c:pt>
                <c:pt idx="40">
                  <c:v>2.31</c:v>
                </c:pt>
                <c:pt idx="41">
                  <c:v>2.9940000000000002</c:v>
                </c:pt>
                <c:pt idx="42">
                  <c:v>5.0609999999999999</c:v>
                </c:pt>
                <c:pt idx="43">
                  <c:v>7.3769999999999998</c:v>
                </c:pt>
                <c:pt idx="44">
                  <c:v>1.6930000000000001</c:v>
                </c:pt>
                <c:pt idx="45">
                  <c:v>1.3540000000000001</c:v>
                </c:pt>
                <c:pt idx="46">
                  <c:v>1.405</c:v>
                </c:pt>
                <c:pt idx="47">
                  <c:v>1.69</c:v>
                </c:pt>
                <c:pt idx="48">
                  <c:v>1.796</c:v>
                </c:pt>
                <c:pt idx="49">
                  <c:v>3.3639999999999999</c:v>
                </c:pt>
                <c:pt idx="50">
                  <c:v>3.7130000000000001</c:v>
                </c:pt>
                <c:pt idx="51">
                  <c:v>3.0779999999999998</c:v>
                </c:pt>
                <c:pt idx="52">
                  <c:v>3.8119999999999998</c:v>
                </c:pt>
                <c:pt idx="53">
                  <c:v>4.3780000000000001</c:v>
                </c:pt>
                <c:pt idx="54">
                  <c:v>5.7469999999999999</c:v>
                </c:pt>
                <c:pt idx="55">
                  <c:v>4.5819999999999999</c:v>
                </c:pt>
                <c:pt idx="56">
                  <c:v>7.0810000000000004</c:v>
                </c:pt>
                <c:pt idx="57">
                  <c:v>5.12</c:v>
                </c:pt>
                <c:pt idx="58">
                  <c:v>3.3050000000000002</c:v>
                </c:pt>
                <c:pt idx="59">
                  <c:v>1.786</c:v>
                </c:pt>
                <c:pt idx="60">
                  <c:v>1.5029999999999999</c:v>
                </c:pt>
                <c:pt idx="61">
                  <c:v>1.7589999999999999</c:v>
                </c:pt>
                <c:pt idx="62">
                  <c:v>1.7689999999999999</c:v>
                </c:pt>
                <c:pt idx="63">
                  <c:v>2.577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DB-4841-9693-ABBE36B46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267631"/>
        <c:axId val="2090264271"/>
      </c:scatterChart>
      <c:valAx>
        <c:axId val="209026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264271"/>
        <c:crosses val="autoZero"/>
        <c:crossBetween val="midCat"/>
      </c:valAx>
      <c:valAx>
        <c:axId val="209026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267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5035433070866144E-2"/>
                  <c:y val="-0.604842519685039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'Sheet1 (2)'!$W$2:$W$65</c:f>
              <c:numCache>
                <c:formatCode>General</c:formatCode>
                <c:ptCount val="64"/>
                <c:pt idx="0">
                  <c:v>6.324555320336759</c:v>
                </c:pt>
                <c:pt idx="1">
                  <c:v>4.7434164902525691</c:v>
                </c:pt>
                <c:pt idx="2">
                  <c:v>7.4313525013956916</c:v>
                </c:pt>
                <c:pt idx="3">
                  <c:v>2.3717082451262845</c:v>
                </c:pt>
                <c:pt idx="4">
                  <c:v>1.8973665961010275</c:v>
                </c:pt>
                <c:pt idx="5">
                  <c:v>3.892494720807615</c:v>
                </c:pt>
                <c:pt idx="6">
                  <c:v>2.59499648053841</c:v>
                </c:pt>
                <c:pt idx="8">
                  <c:v>10.37998592215364</c:v>
                </c:pt>
                <c:pt idx="9">
                  <c:v>3.6329950727537743</c:v>
                </c:pt>
                <c:pt idx="11">
                  <c:v>7.7689859606735592</c:v>
                </c:pt>
                <c:pt idx="12">
                  <c:v>6.7729621195615639</c:v>
                </c:pt>
                <c:pt idx="13">
                  <c:v>4.7809144373375752</c:v>
                </c:pt>
                <c:pt idx="14">
                  <c:v>12.749105166233532</c:v>
                </c:pt>
                <c:pt idx="15">
                  <c:v>9.7610336428975479</c:v>
                </c:pt>
                <c:pt idx="19">
                  <c:v>5.833333333333333</c:v>
                </c:pt>
                <c:pt idx="20">
                  <c:v>3.3333333333333335</c:v>
                </c:pt>
                <c:pt idx="21">
                  <c:v>4.166666666666667</c:v>
                </c:pt>
                <c:pt idx="22">
                  <c:v>4.166666666666667</c:v>
                </c:pt>
                <c:pt idx="24">
                  <c:v>7.5</c:v>
                </c:pt>
                <c:pt idx="25">
                  <c:v>6.666666666666667</c:v>
                </c:pt>
                <c:pt idx="26">
                  <c:v>6.333333333333333</c:v>
                </c:pt>
                <c:pt idx="27">
                  <c:v>6.333333333333333</c:v>
                </c:pt>
                <c:pt idx="28">
                  <c:v>5</c:v>
                </c:pt>
                <c:pt idx="29">
                  <c:v>8.6602540378443855</c:v>
                </c:pt>
                <c:pt idx="30">
                  <c:v>9.0451542173041375</c:v>
                </c:pt>
                <c:pt idx="31">
                  <c:v>8.0829037686547611</c:v>
                </c:pt>
                <c:pt idx="32">
                  <c:v>8.4678039481145113</c:v>
                </c:pt>
                <c:pt idx="33">
                  <c:v>7.69800358919501</c:v>
                </c:pt>
                <c:pt idx="39">
                  <c:v>9.0156114601284809</c:v>
                </c:pt>
                <c:pt idx="40">
                  <c:v>8.4852813742385695</c:v>
                </c:pt>
                <c:pt idx="41">
                  <c:v>8.1317279836452965</c:v>
                </c:pt>
                <c:pt idx="42">
                  <c:v>6.1871843353822902</c:v>
                </c:pt>
                <c:pt idx="43">
                  <c:v>2.8284271247461898</c:v>
                </c:pt>
                <c:pt idx="44">
                  <c:v>6.8787089523776608</c:v>
                </c:pt>
                <c:pt idx="45">
                  <c:v>7.1777832546549503</c:v>
                </c:pt>
                <c:pt idx="46">
                  <c:v>7.1777832546549503</c:v>
                </c:pt>
                <c:pt idx="47">
                  <c:v>7.0282461035163051</c:v>
                </c:pt>
                <c:pt idx="48">
                  <c:v>6.7291718012390156</c:v>
                </c:pt>
                <c:pt idx="49">
                  <c:v>9.4499907714978928</c:v>
                </c:pt>
                <c:pt idx="50">
                  <c:v>9.8437403869769717</c:v>
                </c:pt>
                <c:pt idx="51">
                  <c:v>10.040615194716512</c:v>
                </c:pt>
                <c:pt idx="52">
                  <c:v>9.6468655792374332</c:v>
                </c:pt>
                <c:pt idx="53">
                  <c:v>7.8749923095815779</c:v>
                </c:pt>
                <c:pt idx="54">
                  <c:v>4.4757179627464554</c:v>
                </c:pt>
                <c:pt idx="55">
                  <c:v>6.4450338663548958</c:v>
                </c:pt>
                <c:pt idx="56">
                  <c:v>2.6854307776478734</c:v>
                </c:pt>
                <c:pt idx="57">
                  <c:v>5.3708615552957468</c:v>
                </c:pt>
                <c:pt idx="58">
                  <c:v>7.1611487403943288</c:v>
                </c:pt>
                <c:pt idx="59">
                  <c:v>5.665747474468346</c:v>
                </c:pt>
                <c:pt idx="60">
                  <c:v>6.4563168895104415</c:v>
                </c:pt>
                <c:pt idx="61">
                  <c:v>5.9292706128157109</c:v>
                </c:pt>
                <c:pt idx="62">
                  <c:v>5.5998666898815053</c:v>
                </c:pt>
                <c:pt idx="63">
                  <c:v>5.2704627669472988</c:v>
                </c:pt>
              </c:numCache>
            </c:numRef>
          </c:xVal>
          <c:yVal>
            <c:numRef>
              <c:f>'Sheet1 (2)'!$Y$2:$Y$65</c:f>
              <c:numCache>
                <c:formatCode>General</c:formatCode>
                <c:ptCount val="64"/>
                <c:pt idx="0">
                  <c:v>4.8259999999999996</c:v>
                </c:pt>
                <c:pt idx="1">
                  <c:v>5.28</c:v>
                </c:pt>
                <c:pt idx="3">
                  <c:v>13.28</c:v>
                </c:pt>
                <c:pt idx="5">
                  <c:v>8.8179999999999996</c:v>
                </c:pt>
                <c:pt idx="6">
                  <c:v>17.34</c:v>
                </c:pt>
                <c:pt idx="8">
                  <c:v>3.5430000000000001</c:v>
                </c:pt>
                <c:pt idx="9">
                  <c:v>7.24</c:v>
                </c:pt>
                <c:pt idx="19">
                  <c:v>2.0089999999999999</c:v>
                </c:pt>
                <c:pt idx="20">
                  <c:v>4.3259999999999996</c:v>
                </c:pt>
                <c:pt idx="21">
                  <c:v>2.9580000000000002</c:v>
                </c:pt>
                <c:pt idx="22">
                  <c:v>3.1749999999999998</c:v>
                </c:pt>
                <c:pt idx="24">
                  <c:v>1.637</c:v>
                </c:pt>
                <c:pt idx="25">
                  <c:v>3.7909999999999999</c:v>
                </c:pt>
                <c:pt idx="26">
                  <c:v>3.7530000000000001</c:v>
                </c:pt>
                <c:pt idx="28">
                  <c:v>3.331</c:v>
                </c:pt>
                <c:pt idx="29">
                  <c:v>1.829</c:v>
                </c:pt>
                <c:pt idx="30">
                  <c:v>1.5760000000000001</c:v>
                </c:pt>
                <c:pt idx="31">
                  <c:v>1.8240000000000001</c:v>
                </c:pt>
                <c:pt idx="33">
                  <c:v>1.964</c:v>
                </c:pt>
                <c:pt idx="39">
                  <c:v>1.9790000000000001</c:v>
                </c:pt>
                <c:pt idx="40">
                  <c:v>2.31</c:v>
                </c:pt>
                <c:pt idx="41">
                  <c:v>2.9940000000000002</c:v>
                </c:pt>
                <c:pt idx="42">
                  <c:v>5.0609999999999999</c:v>
                </c:pt>
                <c:pt idx="43">
                  <c:v>7.3769999999999998</c:v>
                </c:pt>
                <c:pt idx="44">
                  <c:v>1.6930000000000001</c:v>
                </c:pt>
                <c:pt idx="45">
                  <c:v>1.3540000000000001</c:v>
                </c:pt>
                <c:pt idx="46">
                  <c:v>1.405</c:v>
                </c:pt>
                <c:pt idx="47">
                  <c:v>1.69</c:v>
                </c:pt>
                <c:pt idx="48">
                  <c:v>1.796</c:v>
                </c:pt>
                <c:pt idx="49">
                  <c:v>3.3639999999999999</c:v>
                </c:pt>
                <c:pt idx="50">
                  <c:v>3.7130000000000001</c:v>
                </c:pt>
                <c:pt idx="51">
                  <c:v>3.0779999999999998</c:v>
                </c:pt>
                <c:pt idx="52">
                  <c:v>3.8119999999999998</c:v>
                </c:pt>
                <c:pt idx="53">
                  <c:v>4.3780000000000001</c:v>
                </c:pt>
                <c:pt idx="54">
                  <c:v>5.7469999999999999</c:v>
                </c:pt>
                <c:pt idx="55">
                  <c:v>4.5819999999999999</c:v>
                </c:pt>
                <c:pt idx="56">
                  <c:v>7.0810000000000004</c:v>
                </c:pt>
                <c:pt idx="57">
                  <c:v>5.12</c:v>
                </c:pt>
                <c:pt idx="58">
                  <c:v>3.3050000000000002</c:v>
                </c:pt>
                <c:pt idx="59">
                  <c:v>1.786</c:v>
                </c:pt>
                <c:pt idx="60">
                  <c:v>1.5029999999999999</c:v>
                </c:pt>
                <c:pt idx="61">
                  <c:v>1.7589999999999999</c:v>
                </c:pt>
                <c:pt idx="62">
                  <c:v>1.7689999999999999</c:v>
                </c:pt>
                <c:pt idx="63">
                  <c:v>2.577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73-473D-969C-E2B2FF3BA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015743"/>
        <c:axId val="1245005183"/>
      </c:scatterChart>
      <c:valAx>
        <c:axId val="124501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005183"/>
        <c:crosses val="autoZero"/>
        <c:crossBetween val="midCat"/>
      </c:valAx>
      <c:valAx>
        <c:axId val="12450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01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3589676290463691E-2"/>
                  <c:y val="-0.579676290463692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'Sheet1 (2)'!$X$2:$X$65</c:f>
              <c:numCache>
                <c:formatCode>General</c:formatCode>
                <c:ptCount val="64"/>
                <c:pt idx="0">
                  <c:v>63.45160979984442</c:v>
                </c:pt>
                <c:pt idx="1">
                  <c:v>47.588707349883315</c:v>
                </c:pt>
                <c:pt idx="3">
                  <c:v>23.794353674941657</c:v>
                </c:pt>
                <c:pt idx="5">
                  <c:v>26.065408498042984</c:v>
                </c:pt>
                <c:pt idx="6">
                  <c:v>17.376938998695323</c:v>
                </c:pt>
                <c:pt idx="8">
                  <c:v>69.507755994781292</c:v>
                </c:pt>
                <c:pt idx="9">
                  <c:v>24.327714598173454</c:v>
                </c:pt>
                <c:pt idx="11">
                  <c:v>64.616218878349144</c:v>
                </c:pt>
                <c:pt idx="12">
                  <c:v>56.33208825291976</c:v>
                </c:pt>
                <c:pt idx="13">
                  <c:v>39.763827002061007</c:v>
                </c:pt>
                <c:pt idx="14">
                  <c:v>106.03687200549602</c:v>
                </c:pt>
                <c:pt idx="15">
                  <c:v>81.184480129207898</c:v>
                </c:pt>
                <c:pt idx="19">
                  <c:v>55.520158574863871</c:v>
                </c:pt>
                <c:pt idx="20">
                  <c:v>31.72580489992221</c:v>
                </c:pt>
                <c:pt idx="21">
                  <c:v>39.657256124902766</c:v>
                </c:pt>
                <c:pt idx="22">
                  <c:v>39.657256124902766</c:v>
                </c:pt>
                <c:pt idx="24">
                  <c:v>74.557175628864385</c:v>
                </c:pt>
                <c:pt idx="25">
                  <c:v>66.273045003435016</c:v>
                </c:pt>
                <c:pt idx="26">
                  <c:v>62.959392753263266</c:v>
                </c:pt>
                <c:pt idx="28">
                  <c:v>49.704783752576262</c:v>
                </c:pt>
                <c:pt idx="29">
                  <c:v>82.426058996524361</c:v>
                </c:pt>
                <c:pt idx="30">
                  <c:v>86.089439396369897</c:v>
                </c:pt>
                <c:pt idx="31">
                  <c:v>76.930988396756078</c:v>
                </c:pt>
                <c:pt idx="33">
                  <c:v>73.267607996910542</c:v>
                </c:pt>
                <c:pt idx="39">
                  <c:v>80.900802494801638</c:v>
                </c:pt>
                <c:pt idx="40">
                  <c:v>76.141931759813303</c:v>
                </c:pt>
                <c:pt idx="41">
                  <c:v>72.96935126982109</c:v>
                </c:pt>
                <c:pt idx="42">
                  <c:v>55.520158574863871</c:v>
                </c:pt>
                <c:pt idx="43">
                  <c:v>25.380643919937768</c:v>
                </c:pt>
                <c:pt idx="44">
                  <c:v>70.106685019148031</c:v>
                </c:pt>
                <c:pt idx="45">
                  <c:v>73.154801759110995</c:v>
                </c:pt>
                <c:pt idx="46">
                  <c:v>73.154801759110995</c:v>
                </c:pt>
                <c:pt idx="47">
                  <c:v>71.63074338912952</c:v>
                </c:pt>
                <c:pt idx="48">
                  <c:v>68.582626649166556</c:v>
                </c:pt>
                <c:pt idx="49">
                  <c:v>73.154801759110995</c:v>
                </c:pt>
                <c:pt idx="50">
                  <c:v>76.202918499073945</c:v>
                </c:pt>
                <c:pt idx="51">
                  <c:v>77.726976869055434</c:v>
                </c:pt>
                <c:pt idx="52">
                  <c:v>74.67886012909247</c:v>
                </c:pt>
                <c:pt idx="53">
                  <c:v>60.96233479925916</c:v>
                </c:pt>
                <c:pt idx="54">
                  <c:v>48.57002105243734</c:v>
                </c:pt>
                <c:pt idx="55">
                  <c:v>69.940830315509771</c:v>
                </c:pt>
                <c:pt idx="56">
                  <c:v>29.142012631462404</c:v>
                </c:pt>
                <c:pt idx="57">
                  <c:v>58.284025262924807</c:v>
                </c:pt>
                <c:pt idx="58">
                  <c:v>77.712033683899747</c:v>
                </c:pt>
                <c:pt idx="59">
                  <c:v>71.243523378692643</c:v>
                </c:pt>
                <c:pt idx="60">
                  <c:v>81.184480129207898</c:v>
                </c:pt>
                <c:pt idx="61">
                  <c:v>74.557175628864385</c:v>
                </c:pt>
                <c:pt idx="62">
                  <c:v>70.415110316149708</c:v>
                </c:pt>
                <c:pt idx="63">
                  <c:v>66.273045003435016</c:v>
                </c:pt>
              </c:numCache>
            </c:numRef>
          </c:xVal>
          <c:yVal>
            <c:numRef>
              <c:f>'Sheet1 (2)'!$Y$2:$Y$65</c:f>
              <c:numCache>
                <c:formatCode>General</c:formatCode>
                <c:ptCount val="64"/>
                <c:pt idx="0">
                  <c:v>4.8259999999999996</c:v>
                </c:pt>
                <c:pt idx="1">
                  <c:v>5.28</c:v>
                </c:pt>
                <c:pt idx="3">
                  <c:v>13.28</c:v>
                </c:pt>
                <c:pt idx="5">
                  <c:v>8.8179999999999996</c:v>
                </c:pt>
                <c:pt idx="6">
                  <c:v>17.34</c:v>
                </c:pt>
                <c:pt idx="8">
                  <c:v>3.5430000000000001</c:v>
                </c:pt>
                <c:pt idx="9">
                  <c:v>7.24</c:v>
                </c:pt>
                <c:pt idx="19">
                  <c:v>2.0089999999999999</c:v>
                </c:pt>
                <c:pt idx="20">
                  <c:v>4.3259999999999996</c:v>
                </c:pt>
                <c:pt idx="21">
                  <c:v>2.9580000000000002</c:v>
                </c:pt>
                <c:pt idx="22">
                  <c:v>3.1749999999999998</c:v>
                </c:pt>
                <c:pt idx="24">
                  <c:v>1.637</c:v>
                </c:pt>
                <c:pt idx="25">
                  <c:v>3.7909999999999999</c:v>
                </c:pt>
                <c:pt idx="26">
                  <c:v>3.7530000000000001</c:v>
                </c:pt>
                <c:pt idx="28">
                  <c:v>3.331</c:v>
                </c:pt>
                <c:pt idx="29">
                  <c:v>1.829</c:v>
                </c:pt>
                <c:pt idx="30">
                  <c:v>1.5760000000000001</c:v>
                </c:pt>
                <c:pt idx="31">
                  <c:v>1.8240000000000001</c:v>
                </c:pt>
                <c:pt idx="33">
                  <c:v>1.964</c:v>
                </c:pt>
                <c:pt idx="39">
                  <c:v>1.9790000000000001</c:v>
                </c:pt>
                <c:pt idx="40">
                  <c:v>2.31</c:v>
                </c:pt>
                <c:pt idx="41">
                  <c:v>2.9940000000000002</c:v>
                </c:pt>
                <c:pt idx="42">
                  <c:v>5.0609999999999999</c:v>
                </c:pt>
                <c:pt idx="43">
                  <c:v>7.3769999999999998</c:v>
                </c:pt>
                <c:pt idx="44">
                  <c:v>1.6930000000000001</c:v>
                </c:pt>
                <c:pt idx="45">
                  <c:v>1.3540000000000001</c:v>
                </c:pt>
                <c:pt idx="46">
                  <c:v>1.405</c:v>
                </c:pt>
                <c:pt idx="47">
                  <c:v>1.69</c:v>
                </c:pt>
                <c:pt idx="48">
                  <c:v>1.796</c:v>
                </c:pt>
                <c:pt idx="49">
                  <c:v>3.3639999999999999</c:v>
                </c:pt>
                <c:pt idx="50">
                  <c:v>3.7130000000000001</c:v>
                </c:pt>
                <c:pt idx="51">
                  <c:v>3.0779999999999998</c:v>
                </c:pt>
                <c:pt idx="52">
                  <c:v>3.8119999999999998</c:v>
                </c:pt>
                <c:pt idx="53">
                  <c:v>4.3780000000000001</c:v>
                </c:pt>
                <c:pt idx="54">
                  <c:v>5.7469999999999999</c:v>
                </c:pt>
                <c:pt idx="55">
                  <c:v>4.5819999999999999</c:v>
                </c:pt>
                <c:pt idx="56">
                  <c:v>7.0810000000000004</c:v>
                </c:pt>
                <c:pt idx="57">
                  <c:v>5.12</c:v>
                </c:pt>
                <c:pt idx="58">
                  <c:v>3.3050000000000002</c:v>
                </c:pt>
                <c:pt idx="59">
                  <c:v>1.786</c:v>
                </c:pt>
                <c:pt idx="60">
                  <c:v>1.5029999999999999</c:v>
                </c:pt>
                <c:pt idx="61">
                  <c:v>1.7589999999999999</c:v>
                </c:pt>
                <c:pt idx="62">
                  <c:v>1.7689999999999999</c:v>
                </c:pt>
                <c:pt idx="63">
                  <c:v>2.577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4C-42E5-986E-866925E2E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267631"/>
        <c:axId val="2090264271"/>
      </c:scatterChart>
      <c:valAx>
        <c:axId val="209026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264271"/>
        <c:crosses val="autoZero"/>
        <c:crossBetween val="midCat"/>
      </c:valAx>
      <c:valAx>
        <c:axId val="209026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267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Distance vs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Sheet3!$I$2</c:f>
              <c:strCache>
                <c:ptCount val="1"/>
                <c:pt idx="0">
                  <c:v>Frequency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Sheet3!$H$3:$H$66</c:f>
              <c:numCache>
                <c:formatCode>General</c:formatCode>
                <c:ptCount val="64"/>
                <c:pt idx="0">
                  <c:v>400</c:v>
                </c:pt>
                <c:pt idx="1">
                  <c:v>430</c:v>
                </c:pt>
                <c:pt idx="3">
                  <c:v>100</c:v>
                </c:pt>
                <c:pt idx="4">
                  <c:v>120</c:v>
                </c:pt>
                <c:pt idx="5">
                  <c:v>150</c:v>
                </c:pt>
                <c:pt idx="6">
                  <c:v>100</c:v>
                </c:pt>
                <c:pt idx="8">
                  <c:v>400</c:v>
                </c:pt>
                <c:pt idx="9">
                  <c:v>250</c:v>
                </c:pt>
                <c:pt idx="11">
                  <c:v>390</c:v>
                </c:pt>
                <c:pt idx="12">
                  <c:v>340</c:v>
                </c:pt>
                <c:pt idx="13">
                  <c:v>240</c:v>
                </c:pt>
                <c:pt idx="14">
                  <c:v>640</c:v>
                </c:pt>
                <c:pt idx="15">
                  <c:v>490</c:v>
                </c:pt>
                <c:pt idx="19">
                  <c:v>350</c:v>
                </c:pt>
                <c:pt idx="20">
                  <c:v>200</c:v>
                </c:pt>
                <c:pt idx="21">
                  <c:v>250</c:v>
                </c:pt>
                <c:pt idx="22">
                  <c:v>250</c:v>
                </c:pt>
                <c:pt idx="24">
                  <c:v>450</c:v>
                </c:pt>
                <c:pt idx="25">
                  <c:v>400</c:v>
                </c:pt>
                <c:pt idx="26">
                  <c:v>380</c:v>
                </c:pt>
                <c:pt idx="28">
                  <c:v>300</c:v>
                </c:pt>
                <c:pt idx="29">
                  <c:v>450</c:v>
                </c:pt>
                <c:pt idx="30">
                  <c:v>470</c:v>
                </c:pt>
                <c:pt idx="31">
                  <c:v>420</c:v>
                </c:pt>
                <c:pt idx="33">
                  <c:v>400</c:v>
                </c:pt>
                <c:pt idx="39">
                  <c:v>510</c:v>
                </c:pt>
                <c:pt idx="40">
                  <c:v>480</c:v>
                </c:pt>
                <c:pt idx="41">
                  <c:v>460</c:v>
                </c:pt>
                <c:pt idx="42">
                  <c:v>350</c:v>
                </c:pt>
                <c:pt idx="43">
                  <c:v>300</c:v>
                </c:pt>
                <c:pt idx="44">
                  <c:v>460</c:v>
                </c:pt>
                <c:pt idx="45">
                  <c:v>480</c:v>
                </c:pt>
                <c:pt idx="46">
                  <c:v>480</c:v>
                </c:pt>
                <c:pt idx="47">
                  <c:v>470</c:v>
                </c:pt>
                <c:pt idx="48">
                  <c:v>450</c:v>
                </c:pt>
                <c:pt idx="49">
                  <c:v>480</c:v>
                </c:pt>
                <c:pt idx="50">
                  <c:v>500</c:v>
                </c:pt>
                <c:pt idx="51">
                  <c:v>510</c:v>
                </c:pt>
                <c:pt idx="52">
                  <c:v>490</c:v>
                </c:pt>
                <c:pt idx="53">
                  <c:v>470</c:v>
                </c:pt>
                <c:pt idx="54">
                  <c:v>320</c:v>
                </c:pt>
                <c:pt idx="55">
                  <c:v>360</c:v>
                </c:pt>
                <c:pt idx="56">
                  <c:v>250</c:v>
                </c:pt>
                <c:pt idx="57">
                  <c:v>300</c:v>
                </c:pt>
                <c:pt idx="58">
                  <c:v>400</c:v>
                </c:pt>
                <c:pt idx="59">
                  <c:v>430</c:v>
                </c:pt>
                <c:pt idx="60">
                  <c:v>490</c:v>
                </c:pt>
                <c:pt idx="61">
                  <c:v>450</c:v>
                </c:pt>
                <c:pt idx="62">
                  <c:v>425</c:v>
                </c:pt>
                <c:pt idx="63">
                  <c:v>400</c:v>
                </c:pt>
              </c:numCache>
            </c:numRef>
          </c:xVal>
          <c:yVal>
            <c:numRef>
              <c:f>Sheet3!$I$3:$I$66</c:f>
              <c:numCache>
                <c:formatCode>General</c:formatCode>
                <c:ptCount val="64"/>
                <c:pt idx="0">
                  <c:v>6.75</c:v>
                </c:pt>
                <c:pt idx="1">
                  <c:v>7.875</c:v>
                </c:pt>
                <c:pt idx="3">
                  <c:v>9.125</c:v>
                </c:pt>
                <c:pt idx="4">
                  <c:v>9</c:v>
                </c:pt>
                <c:pt idx="5">
                  <c:v>27</c:v>
                </c:pt>
                <c:pt idx="6">
                  <c:v>10.63</c:v>
                </c:pt>
                <c:pt idx="8">
                  <c:v>6.25</c:v>
                </c:pt>
                <c:pt idx="9">
                  <c:v>24.63</c:v>
                </c:pt>
                <c:pt idx="11">
                  <c:v>33</c:v>
                </c:pt>
                <c:pt idx="12">
                  <c:v>15.75</c:v>
                </c:pt>
                <c:pt idx="13">
                  <c:v>14.88</c:v>
                </c:pt>
                <c:pt idx="14">
                  <c:v>6.25</c:v>
                </c:pt>
                <c:pt idx="15">
                  <c:v>8.875</c:v>
                </c:pt>
                <c:pt idx="19">
                  <c:v>28.88</c:v>
                </c:pt>
                <c:pt idx="20">
                  <c:v>14.25</c:v>
                </c:pt>
                <c:pt idx="21">
                  <c:v>8.125</c:v>
                </c:pt>
                <c:pt idx="22">
                  <c:v>28.75</c:v>
                </c:pt>
                <c:pt idx="23">
                  <c:v>7.125</c:v>
                </c:pt>
                <c:pt idx="24">
                  <c:v>6.5</c:v>
                </c:pt>
                <c:pt idx="25">
                  <c:v>6</c:v>
                </c:pt>
                <c:pt idx="26">
                  <c:v>6.25</c:v>
                </c:pt>
                <c:pt idx="28">
                  <c:v>10.63</c:v>
                </c:pt>
                <c:pt idx="29">
                  <c:v>5.75</c:v>
                </c:pt>
                <c:pt idx="30">
                  <c:v>19.88</c:v>
                </c:pt>
                <c:pt idx="31">
                  <c:v>7.625</c:v>
                </c:pt>
                <c:pt idx="33">
                  <c:v>5.75</c:v>
                </c:pt>
                <c:pt idx="39">
                  <c:v>5.75</c:v>
                </c:pt>
                <c:pt idx="40">
                  <c:v>5.375</c:v>
                </c:pt>
                <c:pt idx="41">
                  <c:v>3</c:v>
                </c:pt>
                <c:pt idx="42">
                  <c:v>2.75</c:v>
                </c:pt>
                <c:pt idx="43">
                  <c:v>2.75</c:v>
                </c:pt>
                <c:pt idx="44">
                  <c:v>5.375</c:v>
                </c:pt>
                <c:pt idx="45">
                  <c:v>3.375</c:v>
                </c:pt>
                <c:pt idx="46">
                  <c:v>8.375</c:v>
                </c:pt>
                <c:pt idx="47">
                  <c:v>4.75</c:v>
                </c:pt>
                <c:pt idx="48">
                  <c:v>5.125</c:v>
                </c:pt>
                <c:pt idx="49">
                  <c:v>4.125</c:v>
                </c:pt>
                <c:pt idx="50">
                  <c:v>4.875</c:v>
                </c:pt>
                <c:pt idx="51">
                  <c:v>5</c:v>
                </c:pt>
                <c:pt idx="52">
                  <c:v>7.125</c:v>
                </c:pt>
                <c:pt idx="53">
                  <c:v>5</c:v>
                </c:pt>
                <c:pt idx="54">
                  <c:v>5.625</c:v>
                </c:pt>
                <c:pt idx="55">
                  <c:v>7.75</c:v>
                </c:pt>
                <c:pt idx="56">
                  <c:v>7.625</c:v>
                </c:pt>
                <c:pt idx="57">
                  <c:v>9.875</c:v>
                </c:pt>
                <c:pt idx="58">
                  <c:v>8</c:v>
                </c:pt>
                <c:pt idx="59">
                  <c:v>5.875</c:v>
                </c:pt>
                <c:pt idx="60">
                  <c:v>5.5</c:v>
                </c:pt>
                <c:pt idx="61">
                  <c:v>8.5</c:v>
                </c:pt>
                <c:pt idx="62">
                  <c:v>6.25</c:v>
                </c:pt>
                <c:pt idx="63">
                  <c:v>5.375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9A-4800-865B-06EEB8CB2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1940943"/>
        <c:axId val="1281940463"/>
      </c:scatterChart>
      <c:valAx>
        <c:axId val="128194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940463"/>
        <c:crosses val="autoZero"/>
        <c:crossBetween val="midCat"/>
      </c:valAx>
      <c:valAx>
        <c:axId val="128194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Dominant frequency</a:t>
                </a:r>
                <a:r>
                  <a:rPr lang="en-IN" baseline="0"/>
                  <a:t> (Hz)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940943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304803</xdr:colOff>
      <xdr:row>19</xdr:row>
      <xdr:rowOff>102705</xdr:rowOff>
    </xdr:from>
    <xdr:to>
      <xdr:col>56</xdr:col>
      <xdr:colOff>3</xdr:colOff>
      <xdr:row>34</xdr:row>
      <xdr:rowOff>62948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E6CFD7-C30E-4DAC-94B0-E6FFBD706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457204</xdr:colOff>
      <xdr:row>3</xdr:row>
      <xdr:rowOff>16568</xdr:rowOff>
    </xdr:from>
    <xdr:to>
      <xdr:col>56</xdr:col>
      <xdr:colOff>152404</xdr:colOff>
      <xdr:row>17</xdr:row>
      <xdr:rowOff>162342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43421A-618B-430A-B66F-432FF801D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304803</xdr:colOff>
      <xdr:row>19</xdr:row>
      <xdr:rowOff>102705</xdr:rowOff>
    </xdr:from>
    <xdr:to>
      <xdr:col>45</xdr:col>
      <xdr:colOff>3</xdr:colOff>
      <xdr:row>34</xdr:row>
      <xdr:rowOff>62948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67DB40C-9EBE-E814-60A9-4A1593D52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457204</xdr:colOff>
      <xdr:row>3</xdr:row>
      <xdr:rowOff>16568</xdr:rowOff>
    </xdr:from>
    <xdr:to>
      <xdr:col>45</xdr:col>
      <xdr:colOff>152404</xdr:colOff>
      <xdr:row>17</xdr:row>
      <xdr:rowOff>162342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3BEB840-BA15-0E23-2ADE-5F9AFAA38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45720</xdr:colOff>
      <xdr:row>50</xdr:row>
      <xdr:rowOff>80010</xdr:rowOff>
    </xdr:from>
    <xdr:to>
      <xdr:col>23</xdr:col>
      <xdr:colOff>350520</xdr:colOff>
      <xdr:row>65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835DEE-9856-4D58-C6F7-2A23CBFD8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10D8-5BF9-4ADA-840E-164CC5CBE8E3}">
  <dimension ref="A1:BN65"/>
  <sheetViews>
    <sheetView zoomScale="85" zoomScaleNormal="85" workbookViewId="0">
      <selection activeCell="AJ32" sqref="AJ32"/>
    </sheetView>
  </sheetViews>
  <sheetFormatPr baseColWidth="10" defaultColWidth="8.83203125" defaultRowHeight="15" x14ac:dyDescent="0.2"/>
  <cols>
    <col min="3" max="3" width="10.1640625" bestFit="1" customWidth="1"/>
    <col min="4" max="5" width="10.1640625" customWidth="1"/>
    <col min="6" max="6" width="12.5" bestFit="1" customWidth="1"/>
    <col min="7" max="7" width="9.83203125" bestFit="1" customWidth="1"/>
    <col min="9" max="9" width="13.33203125" bestFit="1" customWidth="1"/>
    <col min="10" max="10" width="12.6640625" bestFit="1" customWidth="1"/>
    <col min="11" max="11" width="10.33203125" bestFit="1" customWidth="1"/>
    <col min="12" max="12" width="10.33203125" customWidth="1"/>
    <col min="14" max="14" width="11.5" bestFit="1" customWidth="1"/>
    <col min="22" max="22" width="10.33203125" bestFit="1" customWidth="1"/>
    <col min="23" max="24" width="10.33203125" customWidth="1"/>
    <col min="27" max="30" width="10.33203125" customWidth="1"/>
    <col min="32" max="32" width="10.33203125" customWidth="1"/>
    <col min="35" max="35" width="10.33203125" bestFit="1" customWidth="1"/>
    <col min="36" max="36" width="10.33203125" customWidth="1"/>
    <col min="37" max="37" width="11.5" bestFit="1" customWidth="1"/>
    <col min="60" max="60" width="27.1640625" customWidth="1"/>
    <col min="61" max="61" width="28.6640625" customWidth="1"/>
    <col min="62" max="62" width="25.83203125" customWidth="1"/>
    <col min="65" max="65" width="16.1640625" customWidth="1"/>
    <col min="66" max="66" width="21" customWidth="1"/>
  </cols>
  <sheetData>
    <row r="1" spans="1:66" x14ac:dyDescent="0.2">
      <c r="A1" s="1" t="s">
        <v>0</v>
      </c>
      <c r="B1" s="1" t="s">
        <v>5</v>
      </c>
      <c r="C1" s="1" t="s">
        <v>1</v>
      </c>
      <c r="D1" s="1" t="s">
        <v>11</v>
      </c>
      <c r="E1" s="1" t="s">
        <v>12</v>
      </c>
      <c r="F1" s="1" t="s">
        <v>4</v>
      </c>
      <c r="G1" s="1" t="s">
        <v>2</v>
      </c>
      <c r="H1" s="1" t="s">
        <v>3</v>
      </c>
      <c r="I1" s="1" t="s">
        <v>6</v>
      </c>
      <c r="J1" s="1" t="s">
        <v>7</v>
      </c>
      <c r="K1" s="1" t="s">
        <v>8</v>
      </c>
      <c r="L1" s="7" t="s">
        <v>34</v>
      </c>
      <c r="M1" s="1" t="s">
        <v>9</v>
      </c>
      <c r="N1" s="1" t="s">
        <v>56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58</v>
      </c>
      <c r="V1" s="1" t="s">
        <v>8</v>
      </c>
      <c r="W1" s="1" t="s">
        <v>64</v>
      </c>
      <c r="X1" s="1"/>
      <c r="Y1" s="1" t="s">
        <v>0</v>
      </c>
      <c r="Z1" s="1" t="s">
        <v>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62</v>
      </c>
      <c r="AF1" s="1" t="s">
        <v>57</v>
      </c>
      <c r="AG1" s="1" t="s">
        <v>58</v>
      </c>
      <c r="AH1" s="1" t="s">
        <v>63</v>
      </c>
      <c r="AI1" s="1" t="s">
        <v>8</v>
      </c>
      <c r="AJ1" s="7" t="s">
        <v>34</v>
      </c>
      <c r="AK1" s="1" t="s">
        <v>56</v>
      </c>
      <c r="AL1" s="1"/>
    </row>
    <row r="2" spans="1:66" ht="18" thickBot="1" x14ac:dyDescent="0.25">
      <c r="A2" s="2" t="s">
        <v>10</v>
      </c>
      <c r="B2" s="3">
        <v>1</v>
      </c>
      <c r="C2" s="2">
        <v>100</v>
      </c>
      <c r="D2" s="2" t="s">
        <v>13</v>
      </c>
      <c r="E2" s="2">
        <v>35</v>
      </c>
      <c r="F2" s="2" t="s">
        <v>14</v>
      </c>
      <c r="G2" s="3">
        <v>4</v>
      </c>
      <c r="H2" s="2" t="s">
        <v>15</v>
      </c>
      <c r="I2" t="s">
        <v>24</v>
      </c>
      <c r="J2" s="2">
        <v>20697</v>
      </c>
      <c r="K2" s="2">
        <v>400</v>
      </c>
      <c r="L2" s="2">
        <v>4.8259999999999996</v>
      </c>
      <c r="M2" s="19" t="s">
        <v>16</v>
      </c>
      <c r="N2">
        <v>6.75</v>
      </c>
      <c r="P2">
        <v>6</v>
      </c>
      <c r="Q2" s="10">
        <f>P2*(2/3)</f>
        <v>4</v>
      </c>
      <c r="R2" s="10">
        <f>P2-Q2</f>
        <v>2</v>
      </c>
      <c r="S2" s="10">
        <v>100</v>
      </c>
      <c r="T2" s="10">
        <v>4000</v>
      </c>
      <c r="U2" s="11">
        <f t="shared" ref="U2:U11" si="0">$AO$5*$AO$8*1000*R2</f>
        <v>39.740624999999994</v>
      </c>
      <c r="V2" s="2">
        <f>K2</f>
        <v>400</v>
      </c>
      <c r="W2" s="2">
        <f>V2/T2^0.5</f>
        <v>6.324555320336759</v>
      </c>
      <c r="X2" s="2"/>
      <c r="Y2" s="2" t="s">
        <v>10</v>
      </c>
      <c r="Z2" s="3">
        <v>1</v>
      </c>
      <c r="AA2" s="17" t="s">
        <v>80</v>
      </c>
      <c r="AB2" s="17" t="s">
        <v>81</v>
      </c>
      <c r="AC2" s="18" t="s">
        <v>82</v>
      </c>
      <c r="AD2" s="2">
        <v>150</v>
      </c>
      <c r="AE2" s="10">
        <v>100</v>
      </c>
      <c r="AF2" s="2">
        <f>V2/U2^0.5</f>
        <v>63.45160979984442</v>
      </c>
      <c r="AG2" s="11">
        <f>$AO$5*$AO$8*1000*V2</f>
        <v>7948.1249999999991</v>
      </c>
      <c r="AH2" s="10">
        <v>4000</v>
      </c>
      <c r="AI2" s="2">
        <f>N2</f>
        <v>6.75</v>
      </c>
      <c r="AJ2" s="2">
        <v>4.8259999999999996</v>
      </c>
      <c r="AK2">
        <v>6.75</v>
      </c>
    </row>
    <row r="3" spans="1:66" ht="18" thickBot="1" x14ac:dyDescent="0.25">
      <c r="A3" s="2"/>
      <c r="B3" s="3"/>
      <c r="C3" s="2"/>
      <c r="D3" s="2"/>
      <c r="E3" s="2"/>
      <c r="F3" s="2"/>
      <c r="G3" s="3"/>
      <c r="H3" s="2"/>
      <c r="I3" s="2"/>
      <c r="J3" s="2">
        <v>20698</v>
      </c>
      <c r="K3" s="2">
        <v>430</v>
      </c>
      <c r="L3" s="2">
        <v>5.28</v>
      </c>
      <c r="M3" s="19"/>
      <c r="N3">
        <v>7.875</v>
      </c>
      <c r="P3">
        <v>6</v>
      </c>
      <c r="Q3" s="10">
        <f t="shared" ref="Q3:Q65" si="1">P3*(2/3)</f>
        <v>4</v>
      </c>
      <c r="R3" s="10">
        <f t="shared" ref="R3:R35" si="2">P3-Q3</f>
        <v>2</v>
      </c>
      <c r="S3" s="10">
        <v>100</v>
      </c>
      <c r="T3" s="10">
        <v>4000</v>
      </c>
      <c r="U3" s="11">
        <f t="shared" si="0"/>
        <v>39.740624999999994</v>
      </c>
      <c r="V3" s="2">
        <v>300</v>
      </c>
      <c r="W3" s="2">
        <f t="shared" ref="W3:W65" si="3">V3/T3^0.5</f>
        <v>4.7434164902525691</v>
      </c>
      <c r="X3" s="2"/>
      <c r="Y3" s="2"/>
      <c r="Z3" s="3"/>
      <c r="AA3" s="17" t="s">
        <v>80</v>
      </c>
      <c r="AB3" s="17" t="s">
        <v>81</v>
      </c>
      <c r="AC3" s="18" t="s">
        <v>82</v>
      </c>
      <c r="AD3" s="2">
        <v>150</v>
      </c>
      <c r="AE3" s="10">
        <v>100</v>
      </c>
      <c r="AF3" s="2">
        <f>V3/U3^0.5</f>
        <v>47.588707349883315</v>
      </c>
      <c r="AG3" s="11">
        <f>$AO$5*$AO$8*1000*V3</f>
        <v>5961.0937499999991</v>
      </c>
      <c r="AH3" s="10">
        <v>4000</v>
      </c>
      <c r="AI3" s="2">
        <v>300</v>
      </c>
      <c r="AJ3" s="2">
        <v>5.28</v>
      </c>
      <c r="AK3">
        <v>7.875</v>
      </c>
    </row>
    <row r="4" spans="1:66" ht="17" thickBot="1" x14ac:dyDescent="0.25">
      <c r="A4" s="2"/>
      <c r="B4" s="3"/>
      <c r="C4" s="2"/>
      <c r="D4" s="2"/>
      <c r="E4" s="2"/>
      <c r="F4" s="2"/>
      <c r="G4" s="3"/>
      <c r="H4" s="2"/>
      <c r="I4" s="2"/>
      <c r="J4" s="2">
        <v>15335</v>
      </c>
      <c r="K4" s="2">
        <v>470</v>
      </c>
      <c r="L4" s="2"/>
      <c r="M4" s="19"/>
      <c r="P4">
        <v>6</v>
      </c>
      <c r="Q4" s="10">
        <f t="shared" si="1"/>
        <v>4</v>
      </c>
      <c r="R4" s="10">
        <f t="shared" si="2"/>
        <v>2</v>
      </c>
      <c r="S4" s="10">
        <v>100</v>
      </c>
      <c r="T4" s="10">
        <v>4000</v>
      </c>
      <c r="U4" s="11">
        <f t="shared" si="0"/>
        <v>39.740624999999994</v>
      </c>
      <c r="V4" s="2">
        <f>K4</f>
        <v>470</v>
      </c>
      <c r="W4" s="2">
        <f t="shared" si="3"/>
        <v>7.4313525013956916</v>
      </c>
      <c r="X4" s="2"/>
      <c r="Y4" s="2"/>
      <c r="Z4" s="3"/>
      <c r="AA4" s="17"/>
      <c r="AB4" s="17"/>
      <c r="AC4" s="18"/>
      <c r="AD4" s="2"/>
      <c r="AE4" s="10"/>
      <c r="AF4" s="2"/>
      <c r="AG4" s="11"/>
      <c r="AH4" s="10"/>
      <c r="AI4" s="2"/>
      <c r="AJ4" s="2"/>
    </row>
    <row r="5" spans="1:66" ht="18" thickBot="1" x14ac:dyDescent="0.25">
      <c r="A5" s="2"/>
      <c r="B5" s="3"/>
      <c r="C5" s="2"/>
      <c r="D5" s="2"/>
      <c r="E5" s="2"/>
      <c r="F5" s="2"/>
      <c r="G5" s="3"/>
      <c r="H5" s="2"/>
      <c r="I5" s="2"/>
      <c r="J5" s="2">
        <v>15336</v>
      </c>
      <c r="K5" s="2">
        <v>100</v>
      </c>
      <c r="L5" s="2">
        <v>13.28</v>
      </c>
      <c r="M5" s="19"/>
      <c r="N5">
        <v>9.125</v>
      </c>
      <c r="P5">
        <v>6</v>
      </c>
      <c r="Q5" s="10">
        <f t="shared" si="1"/>
        <v>4</v>
      </c>
      <c r="R5" s="10">
        <f t="shared" si="2"/>
        <v>2</v>
      </c>
      <c r="S5" s="10">
        <v>100</v>
      </c>
      <c r="T5" s="10">
        <v>4000</v>
      </c>
      <c r="U5" s="11">
        <f t="shared" si="0"/>
        <v>39.740624999999994</v>
      </c>
      <c r="V5" s="2">
        <v>150</v>
      </c>
      <c r="W5" s="2">
        <f t="shared" si="3"/>
        <v>2.3717082451262845</v>
      </c>
      <c r="X5" s="2"/>
      <c r="Y5" s="2"/>
      <c r="Z5" s="3"/>
      <c r="AA5" s="17" t="s">
        <v>83</v>
      </c>
      <c r="AB5" s="17" t="s">
        <v>81</v>
      </c>
      <c r="AC5" s="18" t="s">
        <v>82</v>
      </c>
      <c r="AD5" s="2">
        <v>150</v>
      </c>
      <c r="AE5" s="10">
        <v>100</v>
      </c>
      <c r="AF5" s="2">
        <f>V5/U5^0.5</f>
        <v>23.794353674941657</v>
      </c>
      <c r="AG5" s="11">
        <f>$AO$5*$AO$8*1000*V5</f>
        <v>2980.5468749999995</v>
      </c>
      <c r="AH5" s="10">
        <v>4000</v>
      </c>
      <c r="AI5" s="2">
        <v>150</v>
      </c>
      <c r="AJ5" s="2">
        <v>13.28</v>
      </c>
      <c r="AK5">
        <v>9.125</v>
      </c>
      <c r="AO5">
        <f>(3.14*0.15*0.15)/4</f>
        <v>1.7662499999999998E-2</v>
      </c>
      <c r="BH5" s="21" t="s">
        <v>68</v>
      </c>
      <c r="BI5" s="21"/>
      <c r="BJ5" s="21"/>
    </row>
    <row r="6" spans="1:66" ht="17" thickBot="1" x14ac:dyDescent="0.25">
      <c r="A6" s="2"/>
      <c r="B6" s="3"/>
      <c r="C6" s="2"/>
      <c r="D6" s="2"/>
      <c r="E6" s="2"/>
      <c r="F6" s="2"/>
      <c r="G6" s="3"/>
      <c r="H6" s="2"/>
      <c r="I6" s="2"/>
      <c r="J6" s="2">
        <v>23314</v>
      </c>
      <c r="K6" s="2">
        <v>120</v>
      </c>
      <c r="L6" s="2">
        <v>10.29</v>
      </c>
      <c r="M6" s="3"/>
      <c r="N6">
        <v>9</v>
      </c>
      <c r="P6">
        <v>6</v>
      </c>
      <c r="Q6" s="10">
        <f t="shared" si="1"/>
        <v>4</v>
      </c>
      <c r="R6" s="10">
        <f t="shared" si="2"/>
        <v>2</v>
      </c>
      <c r="S6" s="10">
        <v>100</v>
      </c>
      <c r="T6" s="10">
        <v>4000</v>
      </c>
      <c r="U6" s="11">
        <f t="shared" si="0"/>
        <v>39.740624999999994</v>
      </c>
      <c r="V6" s="2">
        <f>K6</f>
        <v>120</v>
      </c>
      <c r="W6" s="2">
        <f t="shared" si="3"/>
        <v>1.8973665961010275</v>
      </c>
      <c r="X6" s="2"/>
      <c r="Y6" s="2"/>
      <c r="Z6" s="3"/>
      <c r="AA6" s="17"/>
      <c r="AB6" s="17"/>
      <c r="AC6" s="18"/>
      <c r="AD6" s="2"/>
      <c r="AE6" s="10"/>
      <c r="AF6" s="2"/>
      <c r="AG6" s="11"/>
      <c r="AH6" s="10"/>
      <c r="AI6" s="2"/>
      <c r="AJ6" s="2"/>
      <c r="AO6">
        <v>2.2000000000000002</v>
      </c>
      <c r="BH6" s="14" t="s">
        <v>66</v>
      </c>
      <c r="BI6" s="15" t="s">
        <v>67</v>
      </c>
      <c r="BJ6" s="15"/>
      <c r="BM6" s="14" t="s">
        <v>66</v>
      </c>
      <c r="BN6" s="15" t="s">
        <v>67</v>
      </c>
    </row>
    <row r="7" spans="1:66" ht="18" thickBot="1" x14ac:dyDescent="0.25">
      <c r="A7" t="s">
        <v>17</v>
      </c>
      <c r="B7" s="19">
        <v>2</v>
      </c>
      <c r="C7">
        <v>45</v>
      </c>
      <c r="D7" t="s">
        <v>20</v>
      </c>
      <c r="F7" t="s">
        <v>19</v>
      </c>
      <c r="G7" s="4">
        <v>3</v>
      </c>
      <c r="H7" t="s">
        <v>15</v>
      </c>
      <c r="I7" t="s">
        <v>21</v>
      </c>
      <c r="J7" s="2">
        <v>20697</v>
      </c>
      <c r="K7" s="2">
        <v>150</v>
      </c>
      <c r="L7" s="2">
        <v>8.8179999999999996</v>
      </c>
      <c r="M7" s="19" t="s">
        <v>18</v>
      </c>
      <c r="N7">
        <v>27</v>
      </c>
      <c r="P7">
        <v>5</v>
      </c>
      <c r="Q7" s="10">
        <f t="shared" si="1"/>
        <v>3.333333333333333</v>
      </c>
      <c r="R7" s="10">
        <f t="shared" si="2"/>
        <v>1.666666666666667</v>
      </c>
      <c r="S7" s="10">
        <v>45</v>
      </c>
      <c r="T7" s="10">
        <v>1485</v>
      </c>
      <c r="U7" s="11">
        <f t="shared" si="0"/>
        <v>33.1171875</v>
      </c>
      <c r="V7" s="2">
        <f>K7</f>
        <v>150</v>
      </c>
      <c r="W7" s="2">
        <f t="shared" si="3"/>
        <v>3.892494720807615</v>
      </c>
      <c r="X7" s="2"/>
      <c r="Y7" t="s">
        <v>17</v>
      </c>
      <c r="Z7" s="4">
        <v>2</v>
      </c>
      <c r="AA7" s="17" t="s">
        <v>83</v>
      </c>
      <c r="AB7" s="17" t="s">
        <v>81</v>
      </c>
      <c r="AC7" s="18" t="s">
        <v>82</v>
      </c>
      <c r="AD7" s="2">
        <v>150</v>
      </c>
      <c r="AE7" s="10">
        <v>45</v>
      </c>
      <c r="AF7" s="2">
        <f>V7/U7^0.5</f>
        <v>26.065408498042984</v>
      </c>
      <c r="AG7" s="11">
        <f>$AO$5*$AO$8*1000*V7</f>
        <v>2980.5468749999995</v>
      </c>
      <c r="AH7" s="10">
        <v>1485</v>
      </c>
      <c r="AI7" s="2">
        <f>N7</f>
        <v>27</v>
      </c>
      <c r="AJ7" s="2">
        <v>8.8179999999999996</v>
      </c>
      <c r="AK7">
        <v>27</v>
      </c>
      <c r="AO7">
        <f>AO5*AO6</f>
        <v>3.8857499999999996E-2</v>
      </c>
      <c r="BH7" s="12">
        <v>150</v>
      </c>
      <c r="BI7" s="16">
        <f t="shared" ref="BI7:BI15" si="4">(BH7/$BI$27)^2</f>
        <v>14.327951222922545</v>
      </c>
      <c r="BJ7" s="16">
        <f>(BH7/BM27)^2</f>
        <v>1462.1785078166929</v>
      </c>
      <c r="BM7" s="12">
        <v>150</v>
      </c>
      <c r="BN7" s="16">
        <f>(BM7/$BJ$27)^2</f>
        <v>44.971074269598304</v>
      </c>
    </row>
    <row r="8" spans="1:66" ht="18" thickBot="1" x14ac:dyDescent="0.25">
      <c r="B8" s="19"/>
      <c r="F8" t="s">
        <v>15</v>
      </c>
      <c r="G8" s="4"/>
      <c r="J8" s="2">
        <v>20698</v>
      </c>
      <c r="K8" s="2">
        <v>100</v>
      </c>
      <c r="L8" s="2">
        <v>17.34</v>
      </c>
      <c r="M8" s="19"/>
      <c r="N8">
        <v>10.63</v>
      </c>
      <c r="P8">
        <v>5</v>
      </c>
      <c r="Q8" s="10">
        <f t="shared" si="1"/>
        <v>3.333333333333333</v>
      </c>
      <c r="R8" s="10">
        <f t="shared" si="2"/>
        <v>1.666666666666667</v>
      </c>
      <c r="S8" s="10">
        <v>45</v>
      </c>
      <c r="T8" s="10">
        <v>1485</v>
      </c>
      <c r="U8" s="11">
        <f t="shared" si="0"/>
        <v>33.1171875</v>
      </c>
      <c r="V8" s="2">
        <f>K8</f>
        <v>100</v>
      </c>
      <c r="W8" s="2">
        <f t="shared" si="3"/>
        <v>2.59499648053841</v>
      </c>
      <c r="X8" s="2"/>
      <c r="Z8" s="4"/>
      <c r="AA8" s="17" t="s">
        <v>83</v>
      </c>
      <c r="AB8" s="17" t="s">
        <v>81</v>
      </c>
      <c r="AC8" s="18" t="s">
        <v>82</v>
      </c>
      <c r="AD8" s="2">
        <v>150</v>
      </c>
      <c r="AE8" s="10">
        <v>45</v>
      </c>
      <c r="AF8" s="2">
        <f>V8/U8^0.5</f>
        <v>17.376938998695323</v>
      </c>
      <c r="AG8" s="11">
        <f>$AO$5*$AO$8*1000*V8</f>
        <v>1987.0312499999998</v>
      </c>
      <c r="AH8" s="10">
        <v>1485</v>
      </c>
      <c r="AI8" s="2">
        <f>N8</f>
        <v>10.63</v>
      </c>
      <c r="AJ8" s="2">
        <v>17.34</v>
      </c>
      <c r="AK8">
        <v>10.63</v>
      </c>
      <c r="AO8">
        <v>1.125</v>
      </c>
      <c r="BH8" s="12">
        <v>200</v>
      </c>
      <c r="BI8" s="16">
        <f t="shared" si="4"/>
        <v>25.471913285195637</v>
      </c>
      <c r="BJ8" s="16"/>
      <c r="BM8" s="12">
        <v>200</v>
      </c>
      <c r="BN8" s="16">
        <f t="shared" ref="BN8:BN15" si="5">(BM8/$BJ$27)^2</f>
        <v>79.948576479285862</v>
      </c>
    </row>
    <row r="9" spans="1:66" ht="17" thickBot="1" x14ac:dyDescent="0.25">
      <c r="B9" s="4"/>
      <c r="G9" s="4"/>
      <c r="J9" s="2">
        <v>15335</v>
      </c>
      <c r="K9" s="2"/>
      <c r="L9" s="2">
        <v>16.34</v>
      </c>
      <c r="M9" s="19"/>
      <c r="N9">
        <v>10.75</v>
      </c>
      <c r="P9">
        <v>5</v>
      </c>
      <c r="Q9" s="10">
        <f t="shared" si="1"/>
        <v>3.333333333333333</v>
      </c>
      <c r="R9" s="10">
        <f t="shared" si="2"/>
        <v>1.666666666666667</v>
      </c>
      <c r="S9" s="10">
        <v>45</v>
      </c>
      <c r="T9" s="10">
        <v>1485</v>
      </c>
      <c r="U9" s="11">
        <f t="shared" si="0"/>
        <v>33.1171875</v>
      </c>
      <c r="V9" s="2"/>
      <c r="W9" s="2"/>
      <c r="X9" s="2"/>
      <c r="Z9" s="4"/>
      <c r="AA9" s="17"/>
      <c r="AB9" s="17"/>
      <c r="AC9" s="18"/>
      <c r="AD9" s="2"/>
      <c r="AE9" s="10"/>
      <c r="AF9" s="2"/>
      <c r="AG9" s="11"/>
      <c r="AH9" s="10"/>
      <c r="AI9" s="2"/>
      <c r="AJ9" s="2"/>
      <c r="AO9">
        <f>AO7*AO8*1000</f>
        <v>43.714687499999997</v>
      </c>
      <c r="BH9" s="12">
        <v>250</v>
      </c>
      <c r="BI9" s="16">
        <f t="shared" si="4"/>
        <v>39.799864508118183</v>
      </c>
      <c r="BJ9" s="16"/>
      <c r="BM9" s="12">
        <v>250</v>
      </c>
      <c r="BN9" s="16">
        <f t="shared" si="5"/>
        <v>124.91965074888417</v>
      </c>
    </row>
    <row r="10" spans="1:66" ht="18" thickBot="1" x14ac:dyDescent="0.25">
      <c r="B10" s="4"/>
      <c r="G10" s="4"/>
      <c r="J10" s="2">
        <v>15336</v>
      </c>
      <c r="K10" s="2">
        <v>400</v>
      </c>
      <c r="L10" s="2">
        <v>3.5430000000000001</v>
      </c>
      <c r="M10" s="19"/>
      <c r="N10">
        <v>6.25</v>
      </c>
      <c r="P10">
        <v>5</v>
      </c>
      <c r="Q10" s="10">
        <f t="shared" si="1"/>
        <v>3.333333333333333</v>
      </c>
      <c r="R10" s="10">
        <f t="shared" si="2"/>
        <v>1.666666666666667</v>
      </c>
      <c r="S10" s="10">
        <v>45</v>
      </c>
      <c r="T10" s="10">
        <v>1485</v>
      </c>
      <c r="U10" s="11">
        <f t="shared" si="0"/>
        <v>33.1171875</v>
      </c>
      <c r="V10" s="2">
        <f>K10</f>
        <v>400</v>
      </c>
      <c r="W10" s="2">
        <f t="shared" si="3"/>
        <v>10.37998592215364</v>
      </c>
      <c r="X10" s="2"/>
      <c r="Z10" s="4"/>
      <c r="AA10" s="17" t="s">
        <v>83</v>
      </c>
      <c r="AB10" s="17" t="s">
        <v>81</v>
      </c>
      <c r="AC10" s="18" t="s">
        <v>82</v>
      </c>
      <c r="AD10" s="2">
        <v>150</v>
      </c>
      <c r="AE10" s="10">
        <v>45</v>
      </c>
      <c r="AF10" s="2">
        <f>V10/U10^0.5</f>
        <v>69.507755994781292</v>
      </c>
      <c r="AG10" s="11">
        <f>$AO$5*$AO$8*1000*V10</f>
        <v>7948.1249999999991</v>
      </c>
      <c r="AH10" s="10">
        <v>1485</v>
      </c>
      <c r="AI10" s="2">
        <f>N10</f>
        <v>6.25</v>
      </c>
      <c r="AJ10" s="2">
        <v>3.5430000000000001</v>
      </c>
      <c r="AK10">
        <v>6.25</v>
      </c>
      <c r="BH10" s="12">
        <v>300</v>
      </c>
      <c r="BI10" s="16">
        <f t="shared" si="4"/>
        <v>57.31180489169018</v>
      </c>
      <c r="BJ10" s="16"/>
      <c r="BM10" s="12">
        <v>300</v>
      </c>
      <c r="BN10" s="16">
        <f t="shared" si="5"/>
        <v>179.88429707839322</v>
      </c>
    </row>
    <row r="11" spans="1:66" ht="18" thickBot="1" x14ac:dyDescent="0.25">
      <c r="B11" s="4"/>
      <c r="G11" s="4"/>
      <c r="J11" s="2">
        <v>23314</v>
      </c>
      <c r="K11" s="2">
        <v>250</v>
      </c>
      <c r="L11" s="2">
        <v>7.24</v>
      </c>
      <c r="M11" s="19"/>
      <c r="N11">
        <v>24.63</v>
      </c>
      <c r="P11">
        <v>5</v>
      </c>
      <c r="Q11" s="10">
        <f t="shared" si="1"/>
        <v>3.333333333333333</v>
      </c>
      <c r="R11" s="10">
        <f t="shared" si="2"/>
        <v>1.666666666666667</v>
      </c>
      <c r="S11" s="10">
        <v>45</v>
      </c>
      <c r="T11" s="10">
        <v>1485</v>
      </c>
      <c r="U11" s="11">
        <f t="shared" si="0"/>
        <v>33.1171875</v>
      </c>
      <c r="V11" s="2">
        <v>140</v>
      </c>
      <c r="W11" s="2">
        <f t="shared" si="3"/>
        <v>3.6329950727537743</v>
      </c>
      <c r="X11" s="2"/>
      <c r="Z11" s="4"/>
      <c r="AA11" s="17" t="s">
        <v>83</v>
      </c>
      <c r="AB11" s="17" t="s">
        <v>81</v>
      </c>
      <c r="AC11" s="18" t="s">
        <v>82</v>
      </c>
      <c r="AD11" s="2">
        <v>150</v>
      </c>
      <c r="AE11" s="10">
        <v>45</v>
      </c>
      <c r="AF11" s="2">
        <f>V11/U11^0.5</f>
        <v>24.327714598173454</v>
      </c>
      <c r="AG11" s="11">
        <f>$AO$5*$AO$8*1000*V11</f>
        <v>2781.8437499999995</v>
      </c>
      <c r="AH11" s="10">
        <v>1485</v>
      </c>
      <c r="AI11" s="2">
        <v>140</v>
      </c>
      <c r="AJ11" s="2">
        <v>7.24</v>
      </c>
      <c r="AK11">
        <v>24.63</v>
      </c>
      <c r="BH11" s="12">
        <v>350</v>
      </c>
      <c r="BI11" s="16">
        <f t="shared" si="4"/>
        <v>78.007734435911644</v>
      </c>
      <c r="BJ11" s="16"/>
      <c r="BM11" s="12">
        <v>350</v>
      </c>
      <c r="BN11" s="16">
        <f t="shared" si="5"/>
        <v>244.84251546781297</v>
      </c>
    </row>
    <row r="12" spans="1:66" ht="17" thickBot="1" x14ac:dyDescent="0.25">
      <c r="B12" s="4"/>
      <c r="G12" s="4"/>
      <c r="J12" s="2"/>
      <c r="K12" s="2"/>
      <c r="L12" s="2"/>
      <c r="M12" s="3"/>
      <c r="Q12" s="10"/>
      <c r="R12" s="10"/>
      <c r="S12" s="10"/>
      <c r="T12" s="10"/>
      <c r="U12" s="11"/>
      <c r="V12" s="2"/>
      <c r="W12" s="2"/>
      <c r="X12" s="2"/>
      <c r="Z12" s="4"/>
      <c r="AA12" s="17"/>
      <c r="AB12" s="17"/>
      <c r="AC12" s="18"/>
      <c r="AD12" s="2"/>
      <c r="AE12" s="10"/>
      <c r="AF12" s="2"/>
      <c r="AG12" s="11"/>
      <c r="AH12" s="10"/>
      <c r="AI12" s="2"/>
      <c r="AJ12" s="2"/>
      <c r="BH12" s="12">
        <v>400</v>
      </c>
      <c r="BI12" s="16">
        <f t="shared" si="4"/>
        <v>101.88765314078255</v>
      </c>
      <c r="BJ12" s="16"/>
      <c r="BM12" s="12">
        <v>400</v>
      </c>
      <c r="BN12" s="16">
        <f t="shared" si="5"/>
        <v>319.79430591714345</v>
      </c>
    </row>
    <row r="13" spans="1:66" ht="17" thickBot="1" x14ac:dyDescent="0.25">
      <c r="B13" s="4"/>
      <c r="C13">
        <v>70</v>
      </c>
      <c r="G13" s="4"/>
      <c r="J13" s="2">
        <v>20697</v>
      </c>
      <c r="K13" s="2">
        <f>K7+240</f>
        <v>390</v>
      </c>
      <c r="L13" s="2">
        <v>2.0960000000000001</v>
      </c>
      <c r="M13" s="3"/>
      <c r="N13">
        <v>33</v>
      </c>
      <c r="P13">
        <v>5.5</v>
      </c>
      <c r="Q13" s="10">
        <f t="shared" si="1"/>
        <v>3.6666666666666665</v>
      </c>
      <c r="R13" s="10">
        <f t="shared" si="2"/>
        <v>1.8333333333333335</v>
      </c>
      <c r="S13" s="10">
        <v>70</v>
      </c>
      <c r="T13" s="10">
        <v>2520</v>
      </c>
      <c r="U13" s="11">
        <f>$AO$5*$AO$8*1000*R13</f>
        <v>36.428906249999997</v>
      </c>
      <c r="V13" s="2">
        <f>K13</f>
        <v>390</v>
      </c>
      <c r="W13" s="2">
        <f t="shared" si="3"/>
        <v>7.7689859606735592</v>
      </c>
      <c r="X13" s="2"/>
      <c r="Z13" s="4"/>
      <c r="AA13" s="17"/>
      <c r="AB13" s="17"/>
      <c r="AC13" s="18"/>
      <c r="AD13" s="2"/>
      <c r="AE13" s="10"/>
      <c r="AF13" s="2"/>
      <c r="AG13" s="11"/>
      <c r="AH13" s="10"/>
      <c r="AI13" s="2"/>
      <c r="AJ13" s="2"/>
      <c r="BH13" s="12">
        <v>450</v>
      </c>
      <c r="BI13" s="16">
        <f t="shared" si="4"/>
        <v>128.95156100630291</v>
      </c>
      <c r="BJ13" s="16"/>
      <c r="BM13" s="12">
        <v>450</v>
      </c>
      <c r="BN13" s="16">
        <f t="shared" si="5"/>
        <v>404.73966842638475</v>
      </c>
    </row>
    <row r="14" spans="1:66" ht="17" thickBot="1" x14ac:dyDescent="0.25">
      <c r="B14" s="4"/>
      <c r="G14" s="4"/>
      <c r="J14" s="2">
        <v>20698</v>
      </c>
      <c r="K14" s="2">
        <f t="shared" ref="K14:K17" si="6">K8+240</f>
        <v>340</v>
      </c>
      <c r="L14" s="2">
        <v>1.323</v>
      </c>
      <c r="M14" s="3"/>
      <c r="N14">
        <v>15.75</v>
      </c>
      <c r="P14">
        <v>5.5</v>
      </c>
      <c r="Q14" s="10">
        <f t="shared" si="1"/>
        <v>3.6666666666666665</v>
      </c>
      <c r="R14" s="10">
        <f t="shared" si="2"/>
        <v>1.8333333333333335</v>
      </c>
      <c r="S14" s="10">
        <v>70</v>
      </c>
      <c r="T14" s="10">
        <v>2520</v>
      </c>
      <c r="U14" s="11">
        <f>$AO$5*$AO$8*1000*R14</f>
        <v>36.428906249999997</v>
      </c>
      <c r="V14" s="2">
        <f>K14</f>
        <v>340</v>
      </c>
      <c r="W14" s="2">
        <f t="shared" si="3"/>
        <v>6.7729621195615639</v>
      </c>
      <c r="X14" s="2"/>
      <c r="Z14" s="4"/>
      <c r="AA14" s="17"/>
      <c r="AB14" s="17"/>
      <c r="AC14" s="18"/>
      <c r="AD14" s="2"/>
      <c r="AE14" s="10"/>
      <c r="AF14" s="2"/>
      <c r="AG14" s="11"/>
      <c r="AH14" s="10"/>
      <c r="AI14" s="2"/>
      <c r="AJ14" s="2"/>
      <c r="BH14" s="12">
        <v>500</v>
      </c>
      <c r="BI14" s="16">
        <f t="shared" si="4"/>
        <v>159.19945803247273</v>
      </c>
      <c r="BJ14" s="16"/>
      <c r="BM14" s="12">
        <v>500</v>
      </c>
      <c r="BN14" s="16">
        <f t="shared" si="5"/>
        <v>499.67860299553666</v>
      </c>
    </row>
    <row r="15" spans="1:66" ht="17" thickBot="1" x14ac:dyDescent="0.25">
      <c r="B15" s="4"/>
      <c r="G15" s="4"/>
      <c r="J15" s="2">
        <v>15335</v>
      </c>
      <c r="K15" s="2">
        <f t="shared" si="6"/>
        <v>240</v>
      </c>
      <c r="L15" s="2">
        <v>2.6539999999999999</v>
      </c>
      <c r="M15" s="3"/>
      <c r="N15">
        <v>14.88</v>
      </c>
      <c r="P15">
        <v>5.5</v>
      </c>
      <c r="Q15" s="10">
        <f t="shared" si="1"/>
        <v>3.6666666666666665</v>
      </c>
      <c r="R15" s="10">
        <f t="shared" si="2"/>
        <v>1.8333333333333335</v>
      </c>
      <c r="S15" s="10">
        <v>70</v>
      </c>
      <c r="T15" s="10">
        <v>2520</v>
      </c>
      <c r="U15" s="11">
        <f>$AO$5*$AO$8*1000*R15</f>
        <v>36.428906249999997</v>
      </c>
      <c r="V15" s="2">
        <f>K15</f>
        <v>240</v>
      </c>
      <c r="W15" s="2">
        <f t="shared" si="3"/>
        <v>4.7809144373375752</v>
      </c>
      <c r="X15" s="2"/>
      <c r="Z15" s="4"/>
      <c r="AA15" s="17"/>
      <c r="AB15" s="17"/>
      <c r="AC15" s="18"/>
      <c r="AD15" s="2"/>
      <c r="AE15" s="10"/>
      <c r="AF15" s="2"/>
      <c r="AG15" s="11"/>
      <c r="AH15" s="10"/>
      <c r="AI15" s="2"/>
      <c r="AJ15" s="2"/>
      <c r="BH15" s="12">
        <v>550</v>
      </c>
      <c r="BI15" s="16">
        <f t="shared" si="4"/>
        <v>192.63134421929198</v>
      </c>
      <c r="BJ15" s="16"/>
      <c r="BM15" s="12">
        <v>550</v>
      </c>
      <c r="BN15" s="16">
        <f t="shared" si="5"/>
        <v>604.61110962459929</v>
      </c>
    </row>
    <row r="16" spans="1:66" ht="17" thickBot="1" x14ac:dyDescent="0.25">
      <c r="B16" s="4"/>
      <c r="G16" s="4"/>
      <c r="J16" s="2">
        <v>15336</v>
      </c>
      <c r="K16" s="2">
        <f t="shared" si="6"/>
        <v>640</v>
      </c>
      <c r="L16" s="2">
        <v>1.921</v>
      </c>
      <c r="M16" s="3"/>
      <c r="N16">
        <v>6.25</v>
      </c>
      <c r="P16">
        <v>5.5</v>
      </c>
      <c r="Q16" s="10">
        <f t="shared" si="1"/>
        <v>3.6666666666666665</v>
      </c>
      <c r="R16" s="10">
        <f t="shared" si="2"/>
        <v>1.8333333333333335</v>
      </c>
      <c r="S16" s="10">
        <v>70</v>
      </c>
      <c r="T16" s="10">
        <v>2520</v>
      </c>
      <c r="U16" s="11">
        <f>$AO$5*$AO$8*1000*R16</f>
        <v>36.428906249999997</v>
      </c>
      <c r="V16" s="2">
        <f>K16</f>
        <v>640</v>
      </c>
      <c r="W16" s="2">
        <f t="shared" si="3"/>
        <v>12.749105166233532</v>
      </c>
      <c r="X16" s="2"/>
      <c r="Z16" s="4"/>
      <c r="AA16" s="17"/>
      <c r="AB16" s="17"/>
      <c r="AC16" s="18"/>
      <c r="AD16" s="2"/>
      <c r="AE16" s="10"/>
      <c r="AF16" s="2"/>
      <c r="AG16" s="11"/>
      <c r="AH16" s="10"/>
      <c r="AI16" s="2"/>
      <c r="AJ16" s="2"/>
      <c r="BJ16" s="13"/>
    </row>
    <row r="17" spans="1:65" ht="17" thickBot="1" x14ac:dyDescent="0.25">
      <c r="B17" s="4"/>
      <c r="G17" s="4"/>
      <c r="J17" s="2">
        <v>23314</v>
      </c>
      <c r="K17" s="2">
        <f t="shared" si="6"/>
        <v>490</v>
      </c>
      <c r="L17" s="2">
        <v>1.9830000000000001</v>
      </c>
      <c r="M17" s="3"/>
      <c r="N17">
        <v>8.875</v>
      </c>
      <c r="P17">
        <v>5.5</v>
      </c>
      <c r="Q17" s="10">
        <f t="shared" si="1"/>
        <v>3.6666666666666665</v>
      </c>
      <c r="R17" s="10">
        <f t="shared" si="2"/>
        <v>1.8333333333333335</v>
      </c>
      <c r="S17" s="10">
        <v>70</v>
      </c>
      <c r="T17" s="10">
        <v>2520</v>
      </c>
      <c r="U17" s="11">
        <f>$AO$5*$AO$8*1000*R17</f>
        <v>36.428906249999997</v>
      </c>
      <c r="V17" s="2">
        <f>K17</f>
        <v>490</v>
      </c>
      <c r="W17" s="2">
        <f t="shared" si="3"/>
        <v>9.7610336428975479</v>
      </c>
      <c r="X17" s="2"/>
      <c r="Z17" s="4"/>
      <c r="AA17" s="17"/>
      <c r="AB17" s="17"/>
      <c r="AC17" s="18"/>
      <c r="AD17" s="2"/>
      <c r="AE17" s="10"/>
      <c r="AF17" s="2"/>
      <c r="AG17" s="11"/>
      <c r="AH17" s="10"/>
      <c r="AI17" s="2"/>
      <c r="AJ17" s="2"/>
    </row>
    <row r="18" spans="1:65" ht="17" thickBot="1" x14ac:dyDescent="0.25">
      <c r="B18" s="4"/>
      <c r="G18" s="4"/>
      <c r="J18" s="2"/>
      <c r="K18" s="2"/>
      <c r="L18" s="2"/>
      <c r="M18" s="3"/>
      <c r="Q18" s="10"/>
      <c r="R18" s="10"/>
      <c r="S18" s="10"/>
      <c r="T18" s="10"/>
      <c r="U18" s="11"/>
      <c r="V18" s="2"/>
      <c r="W18" s="2"/>
      <c r="X18" s="2"/>
      <c r="Z18" s="4"/>
      <c r="AA18" s="17"/>
      <c r="AB18" s="17"/>
      <c r="AC18" s="18"/>
      <c r="AD18" s="2"/>
      <c r="AE18" s="10"/>
      <c r="AF18" s="2"/>
      <c r="AG18" s="11"/>
      <c r="AH18" s="10"/>
      <c r="AI18" s="2"/>
      <c r="AJ18" s="2"/>
    </row>
    <row r="19" spans="1:65" ht="17" thickBot="1" x14ac:dyDescent="0.25">
      <c r="B19" s="4"/>
      <c r="G19" s="4"/>
      <c r="J19" s="2"/>
      <c r="K19" s="2"/>
      <c r="L19" s="2"/>
      <c r="M19" s="3"/>
      <c r="Q19" s="10"/>
      <c r="R19" s="10"/>
      <c r="S19" s="10"/>
      <c r="T19" s="10"/>
      <c r="U19" s="11"/>
      <c r="V19" s="2"/>
      <c r="W19" s="2"/>
      <c r="X19" s="2"/>
      <c r="Z19" s="4"/>
      <c r="AA19" s="17"/>
      <c r="AB19" s="17"/>
      <c r="AC19" s="18"/>
      <c r="AD19" s="2"/>
      <c r="AE19" s="10"/>
      <c r="AF19" s="2"/>
      <c r="AG19" s="11"/>
      <c r="AH19" s="10"/>
      <c r="AI19" s="2"/>
      <c r="AJ19" s="2"/>
    </row>
    <row r="20" spans="1:65" ht="17" thickBot="1" x14ac:dyDescent="0.25">
      <c r="B20" s="4"/>
      <c r="G20" s="4"/>
      <c r="J20" s="2"/>
      <c r="K20" s="2"/>
      <c r="L20" s="2"/>
      <c r="M20" s="3"/>
      <c r="Q20" s="10"/>
      <c r="R20" s="10"/>
      <c r="S20" s="10"/>
      <c r="T20" s="10"/>
      <c r="U20" s="11"/>
      <c r="V20" s="2"/>
      <c r="W20" s="2"/>
      <c r="X20" s="2"/>
      <c r="Z20" s="4"/>
      <c r="AA20" s="17"/>
      <c r="AB20" s="17"/>
      <c r="AC20" s="18"/>
      <c r="AD20" s="2"/>
      <c r="AE20" s="10"/>
      <c r="AF20" s="2"/>
      <c r="AG20" s="11"/>
      <c r="AH20" s="10"/>
      <c r="AI20" s="2"/>
      <c r="AJ20" s="2"/>
    </row>
    <row r="21" spans="1:65" ht="18" thickBot="1" x14ac:dyDescent="0.25">
      <c r="A21" t="s">
        <v>22</v>
      </c>
      <c r="B21">
        <v>1</v>
      </c>
      <c r="D21" t="s">
        <v>23</v>
      </c>
      <c r="E21">
        <v>90</v>
      </c>
      <c r="F21" t="s">
        <v>14</v>
      </c>
      <c r="G21" s="4">
        <v>5</v>
      </c>
      <c r="H21">
        <v>4</v>
      </c>
      <c r="I21" t="s">
        <v>24</v>
      </c>
      <c r="J21" s="2">
        <v>20697</v>
      </c>
      <c r="K21" s="5">
        <v>350</v>
      </c>
      <c r="L21" s="6">
        <v>2.0089999999999999</v>
      </c>
      <c r="M21" s="20" t="s">
        <v>25</v>
      </c>
      <c r="N21">
        <v>28.88</v>
      </c>
      <c r="P21">
        <v>6</v>
      </c>
      <c r="Q21" s="10">
        <f t="shared" si="1"/>
        <v>4</v>
      </c>
      <c r="R21" s="10">
        <f t="shared" si="2"/>
        <v>2</v>
      </c>
      <c r="S21" s="10">
        <v>90</v>
      </c>
      <c r="T21" s="10">
        <v>3600</v>
      </c>
      <c r="U21" s="11">
        <f t="shared" ref="U21:U35" si="7">$AO$5*$AO$8*1000*R21</f>
        <v>39.740624999999994</v>
      </c>
      <c r="V21" s="2">
        <f>K21</f>
        <v>350</v>
      </c>
      <c r="W21" s="2">
        <f t="shared" si="3"/>
        <v>5.833333333333333</v>
      </c>
      <c r="X21" s="2"/>
      <c r="Y21" t="s">
        <v>22</v>
      </c>
      <c r="Z21">
        <v>3</v>
      </c>
      <c r="AA21" s="17" t="s">
        <v>83</v>
      </c>
      <c r="AB21" s="17" t="s">
        <v>81</v>
      </c>
      <c r="AC21" s="18" t="s">
        <v>82</v>
      </c>
      <c r="AD21" s="2">
        <v>150</v>
      </c>
      <c r="AE21" s="10">
        <v>90</v>
      </c>
      <c r="AF21" s="2">
        <f>V21/U21^0.5</f>
        <v>55.520158574863871</v>
      </c>
      <c r="AG21" s="11">
        <f t="shared" ref="AG21:AG35" si="8">$AO$5*$AO$8*1000*V21</f>
        <v>6954.6093749999991</v>
      </c>
      <c r="AH21" s="10">
        <v>3600</v>
      </c>
      <c r="AI21" s="2">
        <f>N21</f>
        <v>28.88</v>
      </c>
      <c r="AJ21" s="6">
        <v>2.0089999999999999</v>
      </c>
      <c r="AK21">
        <v>28.88</v>
      </c>
      <c r="BH21" t="s">
        <v>69</v>
      </c>
      <c r="BI21">
        <v>5</v>
      </c>
      <c r="BJ21">
        <v>10</v>
      </c>
      <c r="BM21">
        <v>5</v>
      </c>
    </row>
    <row r="22" spans="1:65" ht="18" thickBot="1" x14ac:dyDescent="0.25">
      <c r="G22" s="4"/>
      <c r="J22" s="2">
        <v>20698</v>
      </c>
      <c r="K22" s="5">
        <v>200</v>
      </c>
      <c r="L22" s="6">
        <v>4.3259999999999996</v>
      </c>
      <c r="M22" s="19"/>
      <c r="N22">
        <v>14.25</v>
      </c>
      <c r="P22">
        <v>6</v>
      </c>
      <c r="Q22" s="10">
        <f t="shared" si="1"/>
        <v>4</v>
      </c>
      <c r="R22" s="10">
        <f t="shared" si="2"/>
        <v>2</v>
      </c>
      <c r="S22" s="10">
        <v>90</v>
      </c>
      <c r="T22" s="10">
        <v>3600</v>
      </c>
      <c r="U22" s="11">
        <f t="shared" si="7"/>
        <v>39.740624999999994</v>
      </c>
      <c r="V22" s="2">
        <f>K22</f>
        <v>200</v>
      </c>
      <c r="W22" s="2">
        <f t="shared" si="3"/>
        <v>3.3333333333333335</v>
      </c>
      <c r="X22" s="2"/>
      <c r="AA22" s="17" t="s">
        <v>83</v>
      </c>
      <c r="AB22" s="17" t="s">
        <v>81</v>
      </c>
      <c r="AC22" s="18" t="s">
        <v>82</v>
      </c>
      <c r="AD22" s="2">
        <v>150</v>
      </c>
      <c r="AE22" s="10">
        <v>90</v>
      </c>
      <c r="AF22" s="2">
        <f>V22/U22^0.5</f>
        <v>31.72580489992221</v>
      </c>
      <c r="AG22" s="11">
        <f t="shared" si="8"/>
        <v>3974.0624999999995</v>
      </c>
      <c r="AH22" s="10">
        <v>3600</v>
      </c>
      <c r="AI22" s="2">
        <f>N22</f>
        <v>14.25</v>
      </c>
      <c r="AJ22" s="6">
        <v>4.3259999999999996</v>
      </c>
      <c r="AK22">
        <v>14.25</v>
      </c>
      <c r="BH22" t="s">
        <v>70</v>
      </c>
      <c r="BI22">
        <v>432.26</v>
      </c>
      <c r="BJ22">
        <v>432.26</v>
      </c>
      <c r="BM22">
        <v>20.858000000000001</v>
      </c>
    </row>
    <row r="23" spans="1:65" ht="18" thickBot="1" x14ac:dyDescent="0.25">
      <c r="G23" s="4"/>
      <c r="J23" s="2">
        <v>15335</v>
      </c>
      <c r="K23" s="6">
        <v>250</v>
      </c>
      <c r="L23" s="6">
        <v>2.9580000000000002</v>
      </c>
      <c r="M23" s="19"/>
      <c r="N23">
        <v>8.125</v>
      </c>
      <c r="P23">
        <v>6</v>
      </c>
      <c r="Q23" s="10">
        <f t="shared" si="1"/>
        <v>4</v>
      </c>
      <c r="R23" s="10">
        <f t="shared" si="2"/>
        <v>2</v>
      </c>
      <c r="S23" s="10">
        <v>90</v>
      </c>
      <c r="T23" s="10">
        <v>3600</v>
      </c>
      <c r="U23" s="11">
        <f t="shared" si="7"/>
        <v>39.740624999999994</v>
      </c>
      <c r="V23" s="2">
        <f>K23</f>
        <v>250</v>
      </c>
      <c r="W23" s="2">
        <f t="shared" si="3"/>
        <v>4.166666666666667</v>
      </c>
      <c r="X23" s="2"/>
      <c r="AA23" s="17" t="s">
        <v>83</v>
      </c>
      <c r="AB23" s="17" t="s">
        <v>81</v>
      </c>
      <c r="AC23" s="18" t="s">
        <v>82</v>
      </c>
      <c r="AD23" s="2">
        <v>150</v>
      </c>
      <c r="AE23" s="10">
        <v>90</v>
      </c>
      <c r="AF23" s="2">
        <f>V23/U23^0.5</f>
        <v>39.657256124902766</v>
      </c>
      <c r="AG23" s="11">
        <f t="shared" si="8"/>
        <v>4967.5781249999991</v>
      </c>
      <c r="AH23" s="10">
        <v>3600</v>
      </c>
      <c r="AI23" s="2">
        <f>N23</f>
        <v>8.125</v>
      </c>
      <c r="AJ23" s="6">
        <v>2.9580000000000002</v>
      </c>
      <c r="AK23">
        <v>8.125</v>
      </c>
      <c r="BH23" t="s">
        <v>71</v>
      </c>
      <c r="BI23">
        <f>BI21/BI22</f>
        <v>1.1567112386063944E-2</v>
      </c>
      <c r="BJ23">
        <f>BJ21/BJ22</f>
        <v>2.3134224772127888E-2</v>
      </c>
      <c r="BM23">
        <f>BM21/BM22</f>
        <v>0.23971617604755968</v>
      </c>
    </row>
    <row r="24" spans="1:65" ht="18" thickBot="1" x14ac:dyDescent="0.25">
      <c r="G24" s="4"/>
      <c r="J24" s="2">
        <v>15336</v>
      </c>
      <c r="K24" s="5">
        <v>250</v>
      </c>
      <c r="L24" s="6">
        <v>3.1749999999999998</v>
      </c>
      <c r="M24" s="19"/>
      <c r="N24">
        <v>28.75</v>
      </c>
      <c r="P24">
        <v>6</v>
      </c>
      <c r="Q24" s="10">
        <f t="shared" si="1"/>
        <v>4</v>
      </c>
      <c r="R24" s="10">
        <f t="shared" si="2"/>
        <v>2</v>
      </c>
      <c r="S24" s="10">
        <v>90</v>
      </c>
      <c r="T24" s="10">
        <v>3600</v>
      </c>
      <c r="U24" s="11">
        <f t="shared" si="7"/>
        <v>39.740624999999994</v>
      </c>
      <c r="V24" s="2">
        <f>K24</f>
        <v>250</v>
      </c>
      <c r="W24" s="2">
        <f t="shared" si="3"/>
        <v>4.166666666666667</v>
      </c>
      <c r="X24" s="2"/>
      <c r="AA24" s="17" t="s">
        <v>83</v>
      </c>
      <c r="AB24" s="17" t="s">
        <v>81</v>
      </c>
      <c r="AC24" s="18" t="s">
        <v>82</v>
      </c>
      <c r="AD24" s="2">
        <v>150</v>
      </c>
      <c r="AE24" s="10">
        <v>90</v>
      </c>
      <c r="AF24" s="2">
        <f>V24/U24^0.5</f>
        <v>39.657256124902766</v>
      </c>
      <c r="AG24" s="11">
        <f t="shared" si="8"/>
        <v>4967.5781249999991</v>
      </c>
      <c r="AH24" s="10">
        <v>3600</v>
      </c>
      <c r="AI24" s="2">
        <f>N24</f>
        <v>28.75</v>
      </c>
      <c r="AJ24" s="6">
        <v>3.1749999999999998</v>
      </c>
      <c r="AK24">
        <v>28.75</v>
      </c>
      <c r="BH24" t="s">
        <v>72</v>
      </c>
      <c r="BI24">
        <f>LOG10(BI23)</f>
        <v>-1.9367750447923202</v>
      </c>
      <c r="BJ24">
        <f>LOG10(BJ23)</f>
        <v>-1.6357450491283392</v>
      </c>
      <c r="BM24">
        <f>LOG10(BM23)</f>
        <v>-0.62030265878587199</v>
      </c>
    </row>
    <row r="25" spans="1:65" ht="17" thickBot="1" x14ac:dyDescent="0.25">
      <c r="G25" s="4"/>
      <c r="J25" s="2">
        <v>23314</v>
      </c>
      <c r="K25" s="6"/>
      <c r="L25" s="6">
        <v>2.4710000000000001</v>
      </c>
      <c r="M25" s="19"/>
      <c r="N25">
        <v>7.125</v>
      </c>
      <c r="P25">
        <v>6</v>
      </c>
      <c r="Q25" s="10">
        <f t="shared" si="1"/>
        <v>4</v>
      </c>
      <c r="R25" s="10">
        <f t="shared" si="2"/>
        <v>2</v>
      </c>
      <c r="S25" s="10">
        <v>90</v>
      </c>
      <c r="T25" s="10">
        <v>3600</v>
      </c>
      <c r="U25" s="11">
        <f t="shared" si="7"/>
        <v>39.740624999999994</v>
      </c>
      <c r="V25" s="2"/>
      <c r="W25" s="2"/>
      <c r="X25" s="2"/>
      <c r="AA25" s="17"/>
      <c r="AB25" s="17"/>
      <c r="AC25" s="18"/>
      <c r="AD25" s="2"/>
      <c r="AE25" s="10"/>
      <c r="AF25" s="2"/>
      <c r="AG25" s="11"/>
      <c r="AH25" s="10"/>
      <c r="AI25" s="2"/>
      <c r="AJ25" s="6"/>
      <c r="BH25" t="s">
        <v>73</v>
      </c>
      <c r="BI25">
        <v>-1.212</v>
      </c>
      <c r="BJ25">
        <v>-1.212</v>
      </c>
      <c r="BM25">
        <v>-1.0449999999999999</v>
      </c>
    </row>
    <row r="26" spans="1:65" ht="18" thickBot="1" x14ac:dyDescent="0.25">
      <c r="A26" t="s">
        <v>26</v>
      </c>
      <c r="B26">
        <v>1</v>
      </c>
      <c r="C26">
        <v>100</v>
      </c>
      <c r="D26" t="s">
        <v>28</v>
      </c>
      <c r="E26">
        <v>25</v>
      </c>
      <c r="F26" t="s">
        <v>14</v>
      </c>
      <c r="G26" s="4">
        <v>4</v>
      </c>
      <c r="H26" t="s">
        <v>29</v>
      </c>
      <c r="I26" t="s">
        <v>30</v>
      </c>
      <c r="J26" s="2">
        <v>20697</v>
      </c>
      <c r="K26" s="2">
        <v>450</v>
      </c>
      <c r="L26" s="6">
        <v>1.637</v>
      </c>
      <c r="M26" s="20">
        <v>8.8888888888888892E-2</v>
      </c>
      <c r="N26">
        <v>6.5</v>
      </c>
      <c r="P26">
        <v>5.5</v>
      </c>
      <c r="Q26" s="10">
        <f t="shared" si="1"/>
        <v>3.6666666666666665</v>
      </c>
      <c r="R26" s="10">
        <f t="shared" si="2"/>
        <v>1.8333333333333335</v>
      </c>
      <c r="S26" s="10">
        <v>100</v>
      </c>
      <c r="T26" s="10">
        <v>3600</v>
      </c>
      <c r="U26" s="11">
        <f t="shared" si="7"/>
        <v>36.428906249999997</v>
      </c>
      <c r="V26" s="2">
        <f t="shared" ref="V26:V35" si="9">K26</f>
        <v>450</v>
      </c>
      <c r="W26" s="2">
        <f t="shared" si="3"/>
        <v>7.5</v>
      </c>
      <c r="X26" s="2"/>
      <c r="Y26" t="s">
        <v>26</v>
      </c>
      <c r="Z26">
        <v>4</v>
      </c>
      <c r="AA26" s="17" t="s">
        <v>83</v>
      </c>
      <c r="AB26" s="17" t="s">
        <v>81</v>
      </c>
      <c r="AC26" s="18" t="s">
        <v>82</v>
      </c>
      <c r="AD26" s="2">
        <v>150</v>
      </c>
      <c r="AE26" s="10">
        <v>100</v>
      </c>
      <c r="AF26" s="2">
        <f>V26/U26^0.5</f>
        <v>74.557175628864385</v>
      </c>
      <c r="AG26" s="11">
        <f t="shared" si="8"/>
        <v>8941.6406249999982</v>
      </c>
      <c r="AH26" s="10">
        <v>3600</v>
      </c>
      <c r="AI26" s="2">
        <f t="shared" ref="AI26:AI35" si="10">N26</f>
        <v>6.5</v>
      </c>
      <c r="AJ26" s="6">
        <v>1.637</v>
      </c>
      <c r="AK26">
        <v>6.5</v>
      </c>
      <c r="BH26" t="s">
        <v>74</v>
      </c>
      <c r="BI26">
        <f>BI24/BI25</f>
        <v>1.5979992118748516</v>
      </c>
      <c r="BJ26">
        <f>BJ24/BJ25</f>
        <v>1.3496246279936792</v>
      </c>
      <c r="BM26">
        <f>BM24/BM25</f>
        <v>0.59359106103911197</v>
      </c>
    </row>
    <row r="27" spans="1:65" ht="18" thickBot="1" x14ac:dyDescent="0.25">
      <c r="J27" s="2">
        <v>20698</v>
      </c>
      <c r="K27">
        <v>400</v>
      </c>
      <c r="L27">
        <v>3.7909999999999999</v>
      </c>
      <c r="M27" s="20"/>
      <c r="N27">
        <v>6</v>
      </c>
      <c r="P27">
        <v>5.5</v>
      </c>
      <c r="Q27" s="10">
        <f t="shared" si="1"/>
        <v>3.6666666666666665</v>
      </c>
      <c r="R27" s="10">
        <f t="shared" si="2"/>
        <v>1.8333333333333335</v>
      </c>
      <c r="S27" s="10">
        <v>100</v>
      </c>
      <c r="T27" s="10">
        <v>3600</v>
      </c>
      <c r="U27" s="11">
        <f t="shared" si="7"/>
        <v>36.428906249999997</v>
      </c>
      <c r="V27" s="2">
        <f t="shared" si="9"/>
        <v>400</v>
      </c>
      <c r="W27" s="2">
        <f t="shared" si="3"/>
        <v>6.666666666666667</v>
      </c>
      <c r="X27" s="2"/>
      <c r="AA27" s="17" t="s">
        <v>83</v>
      </c>
      <c r="AB27" s="17" t="s">
        <v>81</v>
      </c>
      <c r="AC27" s="18" t="s">
        <v>82</v>
      </c>
      <c r="AD27" s="2">
        <v>150</v>
      </c>
      <c r="AE27" s="10">
        <v>100</v>
      </c>
      <c r="AF27" s="2">
        <f>V27/U27^0.5</f>
        <v>66.273045003435016</v>
      </c>
      <c r="AG27" s="11">
        <f t="shared" si="8"/>
        <v>7948.1249999999991</v>
      </c>
      <c r="AH27" s="10">
        <v>3600</v>
      </c>
      <c r="AI27" s="2">
        <f t="shared" si="10"/>
        <v>6</v>
      </c>
      <c r="AJ27">
        <v>3.7909999999999999</v>
      </c>
      <c r="AK27">
        <v>6</v>
      </c>
      <c r="BH27" t="s">
        <v>75</v>
      </c>
      <c r="BI27">
        <f>10^BI26</f>
        <v>39.627731512034991</v>
      </c>
      <c r="BJ27">
        <f>10^BJ26</f>
        <v>22.367869897006596</v>
      </c>
      <c r="BM27">
        <f>10^BM26</f>
        <v>3.9227538836269531</v>
      </c>
    </row>
    <row r="28" spans="1:65" ht="18" thickBot="1" x14ac:dyDescent="0.25">
      <c r="J28" s="2">
        <v>15335</v>
      </c>
      <c r="K28">
        <v>380</v>
      </c>
      <c r="L28">
        <v>3.7530000000000001</v>
      </c>
      <c r="M28" s="20"/>
      <c r="N28">
        <v>6.25</v>
      </c>
      <c r="P28">
        <v>5.5</v>
      </c>
      <c r="Q28" s="10">
        <f t="shared" si="1"/>
        <v>3.6666666666666665</v>
      </c>
      <c r="R28" s="10">
        <f t="shared" si="2"/>
        <v>1.8333333333333335</v>
      </c>
      <c r="S28" s="10">
        <v>100</v>
      </c>
      <c r="T28" s="10">
        <v>3600</v>
      </c>
      <c r="U28" s="11">
        <f t="shared" si="7"/>
        <v>36.428906249999997</v>
      </c>
      <c r="V28" s="2">
        <f t="shared" si="9"/>
        <v>380</v>
      </c>
      <c r="W28" s="2">
        <f t="shared" si="3"/>
        <v>6.333333333333333</v>
      </c>
      <c r="X28" s="2"/>
      <c r="AA28" s="17" t="s">
        <v>83</v>
      </c>
      <c r="AB28" s="17" t="s">
        <v>81</v>
      </c>
      <c r="AC28" s="18" t="s">
        <v>82</v>
      </c>
      <c r="AD28" s="2">
        <v>150</v>
      </c>
      <c r="AE28" s="10">
        <v>100</v>
      </c>
      <c r="AF28" s="2">
        <f>V28/U28^0.5</f>
        <v>62.959392753263266</v>
      </c>
      <c r="AG28" s="11">
        <f t="shared" si="8"/>
        <v>7550.7187499999991</v>
      </c>
      <c r="AH28" s="10">
        <v>3600</v>
      </c>
      <c r="AI28" s="2">
        <f t="shared" si="10"/>
        <v>6.25</v>
      </c>
      <c r="AJ28">
        <v>3.7530000000000001</v>
      </c>
      <c r="AK28">
        <v>6.25</v>
      </c>
    </row>
    <row r="29" spans="1:65" ht="17" thickBot="1" x14ac:dyDescent="0.25">
      <c r="J29" s="2">
        <v>15336</v>
      </c>
      <c r="K29">
        <v>380</v>
      </c>
      <c r="L29" s="8"/>
      <c r="M29" s="20"/>
      <c r="P29">
        <v>5.5</v>
      </c>
      <c r="Q29" s="10">
        <f t="shared" si="1"/>
        <v>3.6666666666666665</v>
      </c>
      <c r="R29" s="10">
        <f t="shared" si="2"/>
        <v>1.8333333333333335</v>
      </c>
      <c r="S29" s="10">
        <v>100</v>
      </c>
      <c r="T29" s="10">
        <v>3600</v>
      </c>
      <c r="U29" s="11">
        <f t="shared" si="7"/>
        <v>36.428906249999997</v>
      </c>
      <c r="V29" s="2">
        <f t="shared" si="9"/>
        <v>380</v>
      </c>
      <c r="W29" s="2">
        <f t="shared" si="3"/>
        <v>6.333333333333333</v>
      </c>
      <c r="X29" s="2"/>
      <c r="AA29" s="17"/>
      <c r="AB29" s="17"/>
      <c r="AC29" s="18"/>
      <c r="AD29" s="2"/>
      <c r="AE29" s="10"/>
      <c r="AF29" s="2"/>
      <c r="AG29" s="11"/>
      <c r="AH29" s="10"/>
      <c r="AI29" s="2"/>
      <c r="AJ29" s="8"/>
    </row>
    <row r="30" spans="1:65" ht="18" thickBot="1" x14ac:dyDescent="0.25">
      <c r="J30" s="2">
        <v>23314</v>
      </c>
      <c r="K30">
        <v>300</v>
      </c>
      <c r="L30">
        <v>3.331</v>
      </c>
      <c r="M30" s="20"/>
      <c r="N30">
        <v>10.63</v>
      </c>
      <c r="P30">
        <v>5.5</v>
      </c>
      <c r="Q30" s="10">
        <f t="shared" si="1"/>
        <v>3.6666666666666665</v>
      </c>
      <c r="R30" s="10">
        <f t="shared" si="2"/>
        <v>1.8333333333333335</v>
      </c>
      <c r="S30" s="10">
        <v>100</v>
      </c>
      <c r="T30" s="10">
        <v>3600</v>
      </c>
      <c r="U30" s="11">
        <f t="shared" si="7"/>
        <v>36.428906249999997</v>
      </c>
      <c r="V30" s="2">
        <f t="shared" si="9"/>
        <v>300</v>
      </c>
      <c r="W30" s="2">
        <f t="shared" si="3"/>
        <v>5</v>
      </c>
      <c r="X30" s="2"/>
      <c r="AA30" s="17" t="s">
        <v>83</v>
      </c>
      <c r="AB30" s="17" t="s">
        <v>81</v>
      </c>
      <c r="AC30" s="18" t="s">
        <v>82</v>
      </c>
      <c r="AD30" s="2">
        <v>150</v>
      </c>
      <c r="AE30" s="10">
        <v>100</v>
      </c>
      <c r="AF30" s="2">
        <f>V30/U30^0.5</f>
        <v>49.704783752576262</v>
      </c>
      <c r="AG30" s="11">
        <f t="shared" si="8"/>
        <v>5961.0937499999991</v>
      </c>
      <c r="AH30" s="10">
        <v>3600</v>
      </c>
      <c r="AI30" s="2">
        <f t="shared" si="10"/>
        <v>10.63</v>
      </c>
      <c r="AJ30">
        <v>3.331</v>
      </c>
      <c r="AK30">
        <v>10.63</v>
      </c>
    </row>
    <row r="31" spans="1:65" ht="18" thickBot="1" x14ac:dyDescent="0.25">
      <c r="A31" t="s">
        <v>31</v>
      </c>
      <c r="B31">
        <v>1</v>
      </c>
      <c r="C31">
        <v>90</v>
      </c>
      <c r="E31">
        <v>33</v>
      </c>
      <c r="F31" t="s">
        <v>29</v>
      </c>
      <c r="G31">
        <v>3</v>
      </c>
      <c r="H31" t="s">
        <v>32</v>
      </c>
      <c r="I31" t="s">
        <v>33</v>
      </c>
      <c r="J31" s="2">
        <v>20697</v>
      </c>
      <c r="K31">
        <v>450</v>
      </c>
      <c r="L31" s="4">
        <v>1.829</v>
      </c>
      <c r="M31" s="20">
        <v>0.13472222222222222</v>
      </c>
      <c r="N31">
        <v>5.75</v>
      </c>
      <c r="P31">
        <v>4.5</v>
      </c>
      <c r="Q31" s="10">
        <f t="shared" si="1"/>
        <v>3</v>
      </c>
      <c r="R31" s="10">
        <f t="shared" si="2"/>
        <v>1.5</v>
      </c>
      <c r="S31" s="10">
        <v>90</v>
      </c>
      <c r="T31" s="10">
        <v>2700</v>
      </c>
      <c r="U31" s="11">
        <f t="shared" si="7"/>
        <v>29.805468749999996</v>
      </c>
      <c r="V31" s="2">
        <f t="shared" si="9"/>
        <v>450</v>
      </c>
      <c r="W31" s="2">
        <f t="shared" si="3"/>
        <v>8.6602540378443855</v>
      </c>
      <c r="X31" s="2"/>
      <c r="Y31" t="s">
        <v>31</v>
      </c>
      <c r="Z31">
        <v>5</v>
      </c>
      <c r="AA31" s="17" t="s">
        <v>83</v>
      </c>
      <c r="AB31" s="17" t="s">
        <v>81</v>
      </c>
      <c r="AC31" s="18" t="s">
        <v>82</v>
      </c>
      <c r="AD31" s="2">
        <v>150</v>
      </c>
      <c r="AE31" s="10">
        <v>90</v>
      </c>
      <c r="AF31" s="2">
        <f>V31/U31^0.5</f>
        <v>82.426058996524361</v>
      </c>
      <c r="AG31" s="11">
        <f t="shared" si="8"/>
        <v>8941.6406249999982</v>
      </c>
      <c r="AH31" s="10">
        <v>2700</v>
      </c>
      <c r="AI31" s="2">
        <f t="shared" si="10"/>
        <v>5.75</v>
      </c>
      <c r="AJ31" s="4">
        <v>1.829</v>
      </c>
      <c r="AK31">
        <v>5.75</v>
      </c>
    </row>
    <row r="32" spans="1:65" ht="18" thickBot="1" x14ac:dyDescent="0.25">
      <c r="J32" s="2">
        <v>20698</v>
      </c>
      <c r="K32">
        <v>470</v>
      </c>
      <c r="L32" s="4">
        <v>1.5760000000000001</v>
      </c>
      <c r="M32" s="19"/>
      <c r="N32">
        <v>19.88</v>
      </c>
      <c r="P32">
        <v>4.5</v>
      </c>
      <c r="Q32" s="10">
        <f t="shared" si="1"/>
        <v>3</v>
      </c>
      <c r="R32" s="10">
        <f t="shared" si="2"/>
        <v>1.5</v>
      </c>
      <c r="S32" s="10">
        <v>90</v>
      </c>
      <c r="T32" s="10">
        <v>2700</v>
      </c>
      <c r="U32" s="11">
        <f t="shared" si="7"/>
        <v>29.805468749999996</v>
      </c>
      <c r="V32" s="2">
        <f t="shared" si="9"/>
        <v>470</v>
      </c>
      <c r="W32" s="2">
        <f t="shared" si="3"/>
        <v>9.0451542173041375</v>
      </c>
      <c r="X32" s="2"/>
      <c r="AA32" s="17" t="s">
        <v>83</v>
      </c>
      <c r="AB32" s="17" t="s">
        <v>81</v>
      </c>
      <c r="AC32" s="18" t="s">
        <v>82</v>
      </c>
      <c r="AD32" s="2">
        <v>150</v>
      </c>
      <c r="AE32" s="10">
        <v>90</v>
      </c>
      <c r="AF32" s="2">
        <f>V32/U32^0.5</f>
        <v>86.089439396369897</v>
      </c>
      <c r="AG32" s="11">
        <f t="shared" si="8"/>
        <v>9339.0468749999982</v>
      </c>
      <c r="AH32" s="10">
        <v>2700</v>
      </c>
      <c r="AI32" s="2">
        <f t="shared" si="10"/>
        <v>19.88</v>
      </c>
      <c r="AJ32" s="4">
        <v>1.5760000000000001</v>
      </c>
      <c r="AK32">
        <v>19.88</v>
      </c>
    </row>
    <row r="33" spans="1:37" ht="18" thickBot="1" x14ac:dyDescent="0.25">
      <c r="J33" s="2">
        <v>15335</v>
      </c>
      <c r="K33">
        <v>420</v>
      </c>
      <c r="L33" s="4">
        <v>1.8240000000000001</v>
      </c>
      <c r="M33" s="19"/>
      <c r="N33">
        <v>7.625</v>
      </c>
      <c r="P33">
        <v>4.5</v>
      </c>
      <c r="Q33" s="10">
        <f t="shared" si="1"/>
        <v>3</v>
      </c>
      <c r="R33" s="10">
        <f t="shared" si="2"/>
        <v>1.5</v>
      </c>
      <c r="S33" s="10">
        <v>90</v>
      </c>
      <c r="T33" s="10">
        <v>2700</v>
      </c>
      <c r="U33" s="11">
        <f t="shared" si="7"/>
        <v>29.805468749999996</v>
      </c>
      <c r="V33" s="2">
        <f t="shared" si="9"/>
        <v>420</v>
      </c>
      <c r="W33" s="2">
        <f t="shared" si="3"/>
        <v>8.0829037686547611</v>
      </c>
      <c r="X33" s="2"/>
      <c r="AA33" s="17" t="s">
        <v>83</v>
      </c>
      <c r="AB33" s="17" t="s">
        <v>81</v>
      </c>
      <c r="AC33" s="18" t="s">
        <v>82</v>
      </c>
      <c r="AD33" s="2">
        <v>150</v>
      </c>
      <c r="AE33" s="10">
        <v>90</v>
      </c>
      <c r="AF33" s="2">
        <f>V33/U33^0.5</f>
        <v>76.930988396756078</v>
      </c>
      <c r="AG33" s="11">
        <f t="shared" si="8"/>
        <v>8345.5312499999982</v>
      </c>
      <c r="AH33" s="10">
        <v>2700</v>
      </c>
      <c r="AI33" s="2">
        <f t="shared" si="10"/>
        <v>7.625</v>
      </c>
      <c r="AJ33" s="4">
        <v>1.8240000000000001</v>
      </c>
      <c r="AK33">
        <v>7.625</v>
      </c>
    </row>
    <row r="34" spans="1:37" ht="17" thickBot="1" x14ac:dyDescent="0.25">
      <c r="J34" s="2">
        <v>15336</v>
      </c>
      <c r="K34">
        <v>440</v>
      </c>
      <c r="L34" s="9"/>
      <c r="M34" s="19"/>
      <c r="P34">
        <v>4.5</v>
      </c>
      <c r="Q34" s="10">
        <f t="shared" si="1"/>
        <v>3</v>
      </c>
      <c r="R34" s="10">
        <f t="shared" si="2"/>
        <v>1.5</v>
      </c>
      <c r="S34" s="10">
        <v>90</v>
      </c>
      <c r="T34" s="10">
        <v>2700</v>
      </c>
      <c r="U34" s="11">
        <f t="shared" si="7"/>
        <v>29.805468749999996</v>
      </c>
      <c r="V34" s="2">
        <f t="shared" si="9"/>
        <v>440</v>
      </c>
      <c r="W34" s="2">
        <f t="shared" si="3"/>
        <v>8.4678039481145113</v>
      </c>
      <c r="X34" s="2"/>
      <c r="AA34" s="17"/>
      <c r="AB34" s="17"/>
      <c r="AC34" s="18"/>
      <c r="AD34" s="2"/>
      <c r="AE34" s="10"/>
      <c r="AF34" s="2"/>
      <c r="AG34" s="11"/>
      <c r="AH34" s="10"/>
      <c r="AI34" s="2"/>
      <c r="AJ34" s="9"/>
    </row>
    <row r="35" spans="1:37" ht="18" thickBot="1" x14ac:dyDescent="0.25">
      <c r="J35" s="2">
        <v>23314</v>
      </c>
      <c r="K35">
        <v>400</v>
      </c>
      <c r="L35" s="4">
        <v>1.964</v>
      </c>
      <c r="M35" s="19"/>
      <c r="N35">
        <v>5.75</v>
      </c>
      <c r="P35">
        <v>4.5</v>
      </c>
      <c r="Q35" s="10">
        <f t="shared" si="1"/>
        <v>3</v>
      </c>
      <c r="R35" s="10">
        <f t="shared" si="2"/>
        <v>1.5</v>
      </c>
      <c r="S35" s="10">
        <v>90</v>
      </c>
      <c r="T35" s="10">
        <v>2700</v>
      </c>
      <c r="U35" s="11">
        <f t="shared" si="7"/>
        <v>29.805468749999996</v>
      </c>
      <c r="V35" s="2">
        <f t="shared" si="9"/>
        <v>400</v>
      </c>
      <c r="W35" s="2">
        <f t="shared" si="3"/>
        <v>7.69800358919501</v>
      </c>
      <c r="X35" s="2"/>
      <c r="AA35" s="17" t="s">
        <v>83</v>
      </c>
      <c r="AB35" s="17" t="s">
        <v>81</v>
      </c>
      <c r="AC35" s="18" t="s">
        <v>82</v>
      </c>
      <c r="AD35" s="2">
        <v>150</v>
      </c>
      <c r="AE35" s="10">
        <v>90</v>
      </c>
      <c r="AF35" s="2">
        <f>V35/U35^0.5</f>
        <v>73.267607996910542</v>
      </c>
      <c r="AG35" s="11">
        <f t="shared" si="8"/>
        <v>7948.1249999999991</v>
      </c>
      <c r="AH35" s="10">
        <v>2700</v>
      </c>
      <c r="AI35" s="2">
        <f t="shared" si="10"/>
        <v>5.75</v>
      </c>
      <c r="AJ35" s="4">
        <v>1.964</v>
      </c>
      <c r="AK35">
        <v>5.75</v>
      </c>
    </row>
    <row r="36" spans="1:37" ht="17" thickBot="1" x14ac:dyDescent="0.25">
      <c r="A36" t="s">
        <v>35</v>
      </c>
      <c r="B36">
        <v>1</v>
      </c>
      <c r="C36">
        <v>100</v>
      </c>
      <c r="E36">
        <v>35</v>
      </c>
      <c r="F36" t="s">
        <v>36</v>
      </c>
      <c r="G36">
        <v>4</v>
      </c>
      <c r="H36" t="s">
        <v>36</v>
      </c>
      <c r="I36" t="s">
        <v>37</v>
      </c>
      <c r="J36" s="2">
        <v>20697</v>
      </c>
      <c r="K36">
        <v>480</v>
      </c>
      <c r="M36" s="19" t="s">
        <v>42</v>
      </c>
      <c r="Q36" s="10"/>
      <c r="R36" s="10"/>
      <c r="S36" s="10"/>
      <c r="T36" s="10"/>
      <c r="U36" s="11"/>
      <c r="V36" s="2"/>
      <c r="W36" s="2"/>
      <c r="X36" s="2"/>
      <c r="AA36" s="17"/>
      <c r="AB36" s="17"/>
      <c r="AC36" s="18"/>
      <c r="AD36" s="2"/>
      <c r="AE36" s="10"/>
      <c r="AF36" s="2"/>
      <c r="AG36" s="11"/>
      <c r="AH36" s="10"/>
      <c r="AI36" s="2"/>
    </row>
    <row r="37" spans="1:37" ht="17" thickBot="1" x14ac:dyDescent="0.25">
      <c r="J37" s="2">
        <v>20698</v>
      </c>
      <c r="K37">
        <v>470</v>
      </c>
      <c r="M37" s="19"/>
      <c r="Q37" s="10"/>
      <c r="R37" s="10"/>
      <c r="S37" s="10"/>
      <c r="T37" s="10"/>
      <c r="U37" s="11"/>
      <c r="V37" s="2"/>
      <c r="W37" s="2"/>
      <c r="X37" s="2"/>
      <c r="AA37" s="17"/>
      <c r="AB37" s="17"/>
      <c r="AC37" s="18"/>
      <c r="AD37" s="2"/>
      <c r="AE37" s="10"/>
      <c r="AF37" s="2"/>
      <c r="AG37" s="11"/>
      <c r="AH37" s="10"/>
      <c r="AI37" s="2"/>
    </row>
    <row r="38" spans="1:37" ht="17" thickBot="1" x14ac:dyDescent="0.25">
      <c r="J38" s="2">
        <v>15335</v>
      </c>
      <c r="K38">
        <v>430</v>
      </c>
      <c r="M38" s="19"/>
      <c r="Q38" s="10"/>
      <c r="R38" s="10"/>
      <c r="S38" s="10"/>
      <c r="T38" s="10"/>
      <c r="U38" s="11"/>
      <c r="V38" s="2"/>
      <c r="W38" s="2"/>
      <c r="X38" s="2"/>
      <c r="AA38" s="17"/>
      <c r="AB38" s="17"/>
      <c r="AC38" s="18"/>
      <c r="AD38" s="2"/>
      <c r="AE38" s="10"/>
      <c r="AF38" s="2"/>
      <c r="AG38" s="11"/>
      <c r="AH38" s="10"/>
      <c r="AI38" s="2"/>
    </row>
    <row r="39" spans="1:37" ht="17" thickBot="1" x14ac:dyDescent="0.25">
      <c r="J39" s="2">
        <v>15336</v>
      </c>
      <c r="K39">
        <v>410</v>
      </c>
      <c r="M39" s="19"/>
      <c r="Q39" s="10"/>
      <c r="R39" s="10"/>
      <c r="S39" s="10"/>
      <c r="T39" s="10"/>
      <c r="U39" s="11"/>
      <c r="V39" s="2"/>
      <c r="W39" s="2"/>
      <c r="X39" s="2"/>
      <c r="AA39" s="17"/>
      <c r="AB39" s="17"/>
      <c r="AC39" s="18"/>
      <c r="AD39" s="2"/>
      <c r="AE39" s="10"/>
      <c r="AF39" s="2"/>
      <c r="AG39" s="11"/>
      <c r="AH39" s="10"/>
      <c r="AI39" s="2"/>
    </row>
    <row r="40" spans="1:37" ht="17" thickBot="1" x14ac:dyDescent="0.25">
      <c r="J40" s="2">
        <v>23314</v>
      </c>
      <c r="K40">
        <v>380</v>
      </c>
      <c r="M40" s="19"/>
      <c r="Q40" s="10"/>
      <c r="R40" s="10"/>
      <c r="S40" s="10"/>
      <c r="T40" s="10"/>
      <c r="U40" s="11"/>
      <c r="V40" s="2"/>
      <c r="W40" s="2"/>
      <c r="X40" s="2"/>
      <c r="AA40" s="17"/>
      <c r="AB40" s="17"/>
      <c r="AC40" s="18"/>
      <c r="AD40" s="2"/>
      <c r="AE40" s="10"/>
      <c r="AF40" s="2"/>
      <c r="AG40" s="11"/>
      <c r="AH40" s="10"/>
      <c r="AI40" s="2"/>
    </row>
    <row r="41" spans="1:37" ht="18" thickBot="1" x14ac:dyDescent="0.25">
      <c r="A41" t="s">
        <v>35</v>
      </c>
      <c r="B41">
        <v>2</v>
      </c>
      <c r="C41">
        <v>80</v>
      </c>
      <c r="D41" t="s">
        <v>38</v>
      </c>
      <c r="E41" t="s">
        <v>39</v>
      </c>
      <c r="F41" t="s">
        <v>15</v>
      </c>
      <c r="G41">
        <v>3</v>
      </c>
      <c r="H41" t="s">
        <v>15</v>
      </c>
      <c r="I41" t="s">
        <v>40</v>
      </c>
      <c r="J41" s="2">
        <v>20697</v>
      </c>
      <c r="K41">
        <v>510</v>
      </c>
      <c r="L41">
        <v>1.9790000000000001</v>
      </c>
      <c r="M41" s="19" t="s">
        <v>41</v>
      </c>
      <c r="N41">
        <v>5.75</v>
      </c>
      <c r="P41">
        <v>6</v>
      </c>
      <c r="Q41" s="10">
        <f t="shared" si="1"/>
        <v>4</v>
      </c>
      <c r="R41" s="10">
        <f t="shared" ref="R41:R65" si="11">P41-Q41</f>
        <v>2</v>
      </c>
      <c r="S41" s="10">
        <v>80</v>
      </c>
      <c r="T41" s="10">
        <v>3200</v>
      </c>
      <c r="U41" s="11">
        <f t="shared" ref="U41:U65" si="12">$AO$5*$AO$8*1000*R41</f>
        <v>39.740624999999994</v>
      </c>
      <c r="V41" s="2">
        <f>K41</f>
        <v>510</v>
      </c>
      <c r="W41" s="2">
        <f t="shared" si="3"/>
        <v>9.0156114601284809</v>
      </c>
      <c r="X41" s="2"/>
      <c r="Y41" t="s">
        <v>35</v>
      </c>
      <c r="Z41">
        <v>6</v>
      </c>
      <c r="AA41" s="17" t="s">
        <v>83</v>
      </c>
      <c r="AB41" s="17" t="s">
        <v>81</v>
      </c>
      <c r="AC41" s="18" t="s">
        <v>82</v>
      </c>
      <c r="AD41" s="2">
        <v>150</v>
      </c>
      <c r="AE41" s="10">
        <v>80</v>
      </c>
      <c r="AF41" s="2">
        <f t="shared" ref="AF41:AF65" si="13">V41/U41^0.5</f>
        <v>80.900802494801638</v>
      </c>
      <c r="AG41" s="11">
        <f t="shared" ref="AG41:AG65" si="14">$AO$5*$AO$8*1000*V41</f>
        <v>10133.859374999998</v>
      </c>
      <c r="AH41" s="10">
        <v>3200</v>
      </c>
      <c r="AI41" s="2">
        <f>N41</f>
        <v>5.75</v>
      </c>
      <c r="AJ41">
        <v>1.9790000000000001</v>
      </c>
      <c r="AK41">
        <v>5.75</v>
      </c>
    </row>
    <row r="42" spans="1:37" ht="18" thickBot="1" x14ac:dyDescent="0.25">
      <c r="J42" s="2">
        <v>20698</v>
      </c>
      <c r="K42">
        <v>480</v>
      </c>
      <c r="L42">
        <v>2.31</v>
      </c>
      <c r="M42" s="19"/>
      <c r="N42">
        <v>5.375</v>
      </c>
      <c r="P42">
        <v>6</v>
      </c>
      <c r="Q42" s="10">
        <f t="shared" si="1"/>
        <v>4</v>
      </c>
      <c r="R42" s="10">
        <f t="shared" si="11"/>
        <v>2</v>
      </c>
      <c r="S42" s="10">
        <v>80</v>
      </c>
      <c r="T42" s="10">
        <v>3200</v>
      </c>
      <c r="U42" s="11">
        <f t="shared" si="12"/>
        <v>39.740624999999994</v>
      </c>
      <c r="V42" s="2">
        <f>K42</f>
        <v>480</v>
      </c>
      <c r="W42" s="2">
        <f t="shared" si="3"/>
        <v>8.4852813742385695</v>
      </c>
      <c r="X42" s="2"/>
      <c r="AA42" s="17" t="s">
        <v>83</v>
      </c>
      <c r="AB42" s="17" t="s">
        <v>81</v>
      </c>
      <c r="AC42" s="18" t="s">
        <v>82</v>
      </c>
      <c r="AD42" s="2">
        <v>150</v>
      </c>
      <c r="AE42" s="10">
        <v>80</v>
      </c>
      <c r="AF42" s="2">
        <f t="shared" si="13"/>
        <v>76.141931759813303</v>
      </c>
      <c r="AG42" s="11">
        <f t="shared" si="14"/>
        <v>9537.7499999999982</v>
      </c>
      <c r="AH42" s="10">
        <v>3200</v>
      </c>
      <c r="AI42" s="2">
        <f>N42</f>
        <v>5.375</v>
      </c>
      <c r="AJ42">
        <v>2.31</v>
      </c>
      <c r="AK42">
        <v>5.375</v>
      </c>
    </row>
    <row r="43" spans="1:37" ht="18" thickBot="1" x14ac:dyDescent="0.25">
      <c r="J43" s="2">
        <v>15335</v>
      </c>
      <c r="K43">
        <v>460</v>
      </c>
      <c r="L43">
        <v>2.9940000000000002</v>
      </c>
      <c r="M43" s="19"/>
      <c r="N43">
        <v>3</v>
      </c>
      <c r="P43">
        <v>6</v>
      </c>
      <c r="Q43" s="10">
        <f t="shared" si="1"/>
        <v>4</v>
      </c>
      <c r="R43" s="10">
        <f t="shared" si="11"/>
        <v>2</v>
      </c>
      <c r="S43" s="10">
        <v>80</v>
      </c>
      <c r="T43" s="10">
        <v>3200</v>
      </c>
      <c r="U43" s="11">
        <f t="shared" si="12"/>
        <v>39.740624999999994</v>
      </c>
      <c r="V43" s="2">
        <f>K43</f>
        <v>460</v>
      </c>
      <c r="W43" s="2">
        <f t="shared" si="3"/>
        <v>8.1317279836452965</v>
      </c>
      <c r="X43" s="2"/>
      <c r="AA43" s="17" t="s">
        <v>83</v>
      </c>
      <c r="AB43" s="17" t="s">
        <v>81</v>
      </c>
      <c r="AC43" s="18" t="s">
        <v>82</v>
      </c>
      <c r="AD43" s="2">
        <v>150</v>
      </c>
      <c r="AE43" s="10">
        <v>80</v>
      </c>
      <c r="AF43" s="2">
        <f t="shared" si="13"/>
        <v>72.96935126982109</v>
      </c>
      <c r="AG43" s="11">
        <f t="shared" si="14"/>
        <v>9140.3437499999982</v>
      </c>
      <c r="AH43" s="10">
        <v>3200</v>
      </c>
      <c r="AI43" s="2">
        <f>N43</f>
        <v>3</v>
      </c>
      <c r="AJ43">
        <v>2.9940000000000002</v>
      </c>
      <c r="AK43">
        <v>3</v>
      </c>
    </row>
    <row r="44" spans="1:37" ht="18" thickBot="1" x14ac:dyDescent="0.25">
      <c r="J44" s="2">
        <v>15336</v>
      </c>
      <c r="K44">
        <v>350</v>
      </c>
      <c r="L44">
        <v>5.0609999999999999</v>
      </c>
      <c r="M44" s="19"/>
      <c r="N44">
        <v>2.75</v>
      </c>
      <c r="P44">
        <v>6</v>
      </c>
      <c r="Q44" s="10">
        <f t="shared" si="1"/>
        <v>4</v>
      </c>
      <c r="R44" s="10">
        <f t="shared" si="11"/>
        <v>2</v>
      </c>
      <c r="S44" s="10">
        <v>80</v>
      </c>
      <c r="T44" s="10">
        <v>3200</v>
      </c>
      <c r="U44" s="11">
        <f t="shared" si="12"/>
        <v>39.740624999999994</v>
      </c>
      <c r="V44" s="2">
        <f>K44</f>
        <v>350</v>
      </c>
      <c r="W44" s="2">
        <f t="shared" si="3"/>
        <v>6.1871843353822902</v>
      </c>
      <c r="X44" s="2"/>
      <c r="AA44" s="17" t="s">
        <v>83</v>
      </c>
      <c r="AB44" s="17" t="s">
        <v>81</v>
      </c>
      <c r="AC44" s="18" t="s">
        <v>82</v>
      </c>
      <c r="AD44" s="2">
        <v>150</v>
      </c>
      <c r="AE44" s="10">
        <v>80</v>
      </c>
      <c r="AF44" s="2">
        <f t="shared" si="13"/>
        <v>55.520158574863871</v>
      </c>
      <c r="AG44" s="11">
        <f t="shared" si="14"/>
        <v>6954.6093749999991</v>
      </c>
      <c r="AH44" s="10">
        <v>3200</v>
      </c>
      <c r="AI44" s="2">
        <f>N44</f>
        <v>2.75</v>
      </c>
      <c r="AJ44">
        <v>5.0609999999999999</v>
      </c>
      <c r="AK44">
        <v>2.75</v>
      </c>
    </row>
    <row r="45" spans="1:37" ht="18" thickBot="1" x14ac:dyDescent="0.25">
      <c r="J45" s="2">
        <v>23314</v>
      </c>
      <c r="K45">
        <v>300</v>
      </c>
      <c r="L45">
        <v>7.3769999999999998</v>
      </c>
      <c r="M45" s="19"/>
      <c r="N45">
        <v>2.75</v>
      </c>
      <c r="P45">
        <v>6</v>
      </c>
      <c r="Q45" s="10">
        <f t="shared" si="1"/>
        <v>4</v>
      </c>
      <c r="R45" s="10">
        <f t="shared" si="11"/>
        <v>2</v>
      </c>
      <c r="S45" s="10">
        <v>80</v>
      </c>
      <c r="T45" s="10">
        <v>3200</v>
      </c>
      <c r="U45" s="11">
        <f t="shared" si="12"/>
        <v>39.740624999999994</v>
      </c>
      <c r="V45" s="2">
        <v>160</v>
      </c>
      <c r="W45" s="2">
        <f t="shared" si="3"/>
        <v>2.8284271247461898</v>
      </c>
      <c r="X45" s="2"/>
      <c r="AA45" s="17" t="s">
        <v>83</v>
      </c>
      <c r="AB45" s="17" t="s">
        <v>81</v>
      </c>
      <c r="AC45" s="18" t="s">
        <v>82</v>
      </c>
      <c r="AD45" s="2">
        <v>150</v>
      </c>
      <c r="AE45" s="10">
        <v>80</v>
      </c>
      <c r="AF45" s="2">
        <f t="shared" si="13"/>
        <v>25.380643919937768</v>
      </c>
      <c r="AG45" s="11">
        <f t="shared" si="14"/>
        <v>3179.2499999999995</v>
      </c>
      <c r="AH45" s="10">
        <v>3200</v>
      </c>
      <c r="AI45" s="2">
        <v>160</v>
      </c>
      <c r="AJ45">
        <v>7.3769999999999998</v>
      </c>
      <c r="AK45">
        <v>2.75</v>
      </c>
    </row>
    <row r="46" spans="1:37" ht="18" thickBot="1" x14ac:dyDescent="0.25">
      <c r="A46" t="s">
        <v>43</v>
      </c>
      <c r="B46">
        <v>1</v>
      </c>
      <c r="C46">
        <v>104</v>
      </c>
      <c r="E46" t="s">
        <v>44</v>
      </c>
      <c r="F46" t="s">
        <v>32</v>
      </c>
      <c r="G46">
        <v>7</v>
      </c>
      <c r="H46" t="s">
        <v>32</v>
      </c>
      <c r="I46" t="s">
        <v>45</v>
      </c>
      <c r="J46" s="2">
        <v>20697</v>
      </c>
      <c r="K46">
        <v>460</v>
      </c>
      <c r="L46">
        <v>1.6930000000000001</v>
      </c>
      <c r="M46" s="19" t="s">
        <v>46</v>
      </c>
      <c r="N46">
        <v>5.375</v>
      </c>
      <c r="P46">
        <v>6.5</v>
      </c>
      <c r="Q46" s="10">
        <f t="shared" si="1"/>
        <v>4.333333333333333</v>
      </c>
      <c r="R46" s="10">
        <f t="shared" si="11"/>
        <v>2.166666666666667</v>
      </c>
      <c r="S46" s="10">
        <v>104</v>
      </c>
      <c r="T46" s="10">
        <v>4472</v>
      </c>
      <c r="U46" s="11">
        <f t="shared" si="12"/>
        <v>43.052343749999999</v>
      </c>
      <c r="V46" s="2">
        <f t="shared" ref="V46:V54" si="15">K46</f>
        <v>460</v>
      </c>
      <c r="W46" s="2">
        <f t="shared" si="3"/>
        <v>6.8787089523776608</v>
      </c>
      <c r="X46" s="2"/>
      <c r="Y46" t="s">
        <v>43</v>
      </c>
      <c r="Z46">
        <v>7</v>
      </c>
      <c r="AA46" s="17" t="s">
        <v>83</v>
      </c>
      <c r="AB46" s="17" t="s">
        <v>81</v>
      </c>
      <c r="AC46" s="18" t="s">
        <v>82</v>
      </c>
      <c r="AD46" s="2">
        <v>150</v>
      </c>
      <c r="AE46" s="10">
        <v>104</v>
      </c>
      <c r="AF46" s="2">
        <f t="shared" si="13"/>
        <v>70.106685019148031</v>
      </c>
      <c r="AG46" s="11">
        <f t="shared" si="14"/>
        <v>9140.3437499999982</v>
      </c>
      <c r="AH46" s="10">
        <v>4472</v>
      </c>
      <c r="AI46" s="2">
        <f t="shared" ref="AI46:AI54" si="16">N46</f>
        <v>5.375</v>
      </c>
      <c r="AJ46">
        <v>1.6930000000000001</v>
      </c>
      <c r="AK46">
        <v>5.375</v>
      </c>
    </row>
    <row r="47" spans="1:37" ht="18" thickBot="1" x14ac:dyDescent="0.25">
      <c r="J47" s="2">
        <v>20698</v>
      </c>
      <c r="K47">
        <v>480</v>
      </c>
      <c r="L47">
        <v>1.3540000000000001</v>
      </c>
      <c r="M47" s="19"/>
      <c r="N47">
        <v>3.375</v>
      </c>
      <c r="P47">
        <v>6.5</v>
      </c>
      <c r="Q47" s="10">
        <f t="shared" si="1"/>
        <v>4.333333333333333</v>
      </c>
      <c r="R47" s="10">
        <f t="shared" si="11"/>
        <v>2.166666666666667</v>
      </c>
      <c r="S47" s="10">
        <v>104</v>
      </c>
      <c r="T47" s="10">
        <v>4472</v>
      </c>
      <c r="U47" s="11">
        <f t="shared" si="12"/>
        <v>43.052343749999999</v>
      </c>
      <c r="V47" s="2">
        <f t="shared" si="15"/>
        <v>480</v>
      </c>
      <c r="W47" s="2">
        <f t="shared" si="3"/>
        <v>7.1777832546549503</v>
      </c>
      <c r="X47" s="2"/>
      <c r="AA47" s="17" t="s">
        <v>83</v>
      </c>
      <c r="AB47" s="17" t="s">
        <v>81</v>
      </c>
      <c r="AC47" s="18" t="s">
        <v>82</v>
      </c>
      <c r="AD47" s="2">
        <v>150</v>
      </c>
      <c r="AE47" s="10">
        <v>104</v>
      </c>
      <c r="AF47" s="2">
        <f t="shared" si="13"/>
        <v>73.154801759110995</v>
      </c>
      <c r="AG47" s="11">
        <f t="shared" si="14"/>
        <v>9537.7499999999982</v>
      </c>
      <c r="AH47" s="10">
        <v>4472</v>
      </c>
      <c r="AI47" s="2">
        <f t="shared" si="16"/>
        <v>3.375</v>
      </c>
      <c r="AJ47">
        <v>1.3540000000000001</v>
      </c>
      <c r="AK47">
        <v>3.375</v>
      </c>
    </row>
    <row r="48" spans="1:37" ht="18" thickBot="1" x14ac:dyDescent="0.25">
      <c r="J48" s="2">
        <v>15335</v>
      </c>
      <c r="K48">
        <v>480</v>
      </c>
      <c r="L48">
        <v>1.405</v>
      </c>
      <c r="M48" s="19"/>
      <c r="N48">
        <v>8.375</v>
      </c>
      <c r="P48">
        <v>6.5</v>
      </c>
      <c r="Q48" s="10">
        <f t="shared" si="1"/>
        <v>4.333333333333333</v>
      </c>
      <c r="R48" s="10">
        <f t="shared" si="11"/>
        <v>2.166666666666667</v>
      </c>
      <c r="S48" s="10">
        <v>104</v>
      </c>
      <c r="T48" s="10">
        <v>4472</v>
      </c>
      <c r="U48" s="11">
        <f t="shared" si="12"/>
        <v>43.052343749999999</v>
      </c>
      <c r="V48" s="2">
        <f t="shared" si="15"/>
        <v>480</v>
      </c>
      <c r="W48" s="2">
        <f t="shared" si="3"/>
        <v>7.1777832546549503</v>
      </c>
      <c r="X48" s="2"/>
      <c r="AA48" s="17" t="s">
        <v>83</v>
      </c>
      <c r="AB48" s="17" t="s">
        <v>81</v>
      </c>
      <c r="AC48" s="18" t="s">
        <v>82</v>
      </c>
      <c r="AD48" s="2">
        <v>150</v>
      </c>
      <c r="AE48" s="10">
        <v>104</v>
      </c>
      <c r="AF48" s="2">
        <f t="shared" si="13"/>
        <v>73.154801759110995</v>
      </c>
      <c r="AG48" s="11">
        <f t="shared" si="14"/>
        <v>9537.7499999999982</v>
      </c>
      <c r="AH48" s="10">
        <v>4472</v>
      </c>
      <c r="AI48" s="2">
        <f t="shared" si="16"/>
        <v>8.375</v>
      </c>
      <c r="AJ48">
        <v>1.405</v>
      </c>
      <c r="AK48">
        <v>8.375</v>
      </c>
    </row>
    <row r="49" spans="1:37" ht="18" thickBot="1" x14ac:dyDescent="0.25">
      <c r="J49" s="2">
        <v>15336</v>
      </c>
      <c r="K49">
        <v>470</v>
      </c>
      <c r="L49">
        <v>1.69</v>
      </c>
      <c r="M49" s="19"/>
      <c r="N49">
        <v>4.75</v>
      </c>
      <c r="P49">
        <v>6.5</v>
      </c>
      <c r="Q49" s="10">
        <f t="shared" si="1"/>
        <v>4.333333333333333</v>
      </c>
      <c r="R49" s="10">
        <f t="shared" si="11"/>
        <v>2.166666666666667</v>
      </c>
      <c r="S49" s="10">
        <v>104</v>
      </c>
      <c r="T49" s="10">
        <v>4472</v>
      </c>
      <c r="U49" s="11">
        <f t="shared" si="12"/>
        <v>43.052343749999999</v>
      </c>
      <c r="V49" s="2">
        <f t="shared" si="15"/>
        <v>470</v>
      </c>
      <c r="W49" s="2">
        <f t="shared" si="3"/>
        <v>7.0282461035163051</v>
      </c>
      <c r="X49" s="2"/>
      <c r="AA49" s="17" t="s">
        <v>83</v>
      </c>
      <c r="AB49" s="17" t="s">
        <v>81</v>
      </c>
      <c r="AC49" s="18" t="s">
        <v>82</v>
      </c>
      <c r="AD49" s="2">
        <v>150</v>
      </c>
      <c r="AE49" s="10">
        <v>104</v>
      </c>
      <c r="AF49" s="2">
        <f t="shared" si="13"/>
        <v>71.63074338912952</v>
      </c>
      <c r="AG49" s="11">
        <f t="shared" si="14"/>
        <v>9339.0468749999982</v>
      </c>
      <c r="AH49" s="10">
        <v>4472</v>
      </c>
      <c r="AI49" s="2">
        <f t="shared" si="16"/>
        <v>4.75</v>
      </c>
      <c r="AJ49">
        <v>1.69</v>
      </c>
      <c r="AK49">
        <v>4.75</v>
      </c>
    </row>
    <row r="50" spans="1:37" ht="18" thickBot="1" x14ac:dyDescent="0.25">
      <c r="J50" s="2">
        <v>23314</v>
      </c>
      <c r="K50">
        <v>450</v>
      </c>
      <c r="L50">
        <v>1.796</v>
      </c>
      <c r="M50" s="19"/>
      <c r="N50">
        <v>5.125</v>
      </c>
      <c r="P50">
        <v>6.5</v>
      </c>
      <c r="Q50" s="10">
        <f t="shared" si="1"/>
        <v>4.333333333333333</v>
      </c>
      <c r="R50" s="10">
        <f t="shared" si="11"/>
        <v>2.166666666666667</v>
      </c>
      <c r="S50" s="10">
        <v>104</v>
      </c>
      <c r="T50" s="10">
        <v>4472</v>
      </c>
      <c r="U50" s="11">
        <f t="shared" si="12"/>
        <v>43.052343749999999</v>
      </c>
      <c r="V50" s="2">
        <f t="shared" si="15"/>
        <v>450</v>
      </c>
      <c r="W50" s="2">
        <f t="shared" si="3"/>
        <v>6.7291718012390156</v>
      </c>
      <c r="X50" s="2"/>
      <c r="AA50" s="17" t="s">
        <v>83</v>
      </c>
      <c r="AB50" s="17" t="s">
        <v>81</v>
      </c>
      <c r="AC50" s="18" t="s">
        <v>82</v>
      </c>
      <c r="AD50" s="2">
        <v>150</v>
      </c>
      <c r="AE50" s="10">
        <v>104</v>
      </c>
      <c r="AF50" s="2">
        <f t="shared" si="13"/>
        <v>68.582626649166556</v>
      </c>
      <c r="AG50" s="11">
        <f t="shared" si="14"/>
        <v>8941.6406249999982</v>
      </c>
      <c r="AH50" s="10">
        <v>4472</v>
      </c>
      <c r="AI50" s="2">
        <f t="shared" si="16"/>
        <v>5.125</v>
      </c>
      <c r="AJ50">
        <v>1.796</v>
      </c>
      <c r="AK50">
        <v>5.125</v>
      </c>
    </row>
    <row r="51" spans="1:37" ht="18" thickBot="1" x14ac:dyDescent="0.25">
      <c r="A51" t="s">
        <v>48</v>
      </c>
      <c r="B51">
        <v>2</v>
      </c>
      <c r="C51">
        <v>60</v>
      </c>
      <c r="E51" t="s">
        <v>47</v>
      </c>
      <c r="F51" t="s">
        <v>14</v>
      </c>
      <c r="G51">
        <v>4</v>
      </c>
      <c r="H51" t="s">
        <v>32</v>
      </c>
      <c r="I51" t="s">
        <v>49</v>
      </c>
      <c r="J51" s="2">
        <v>20697</v>
      </c>
      <c r="K51">
        <v>480</v>
      </c>
      <c r="L51">
        <v>3.3639999999999999</v>
      </c>
      <c r="M51" s="19" t="s">
        <v>50</v>
      </c>
      <c r="N51">
        <v>4.125</v>
      </c>
      <c r="P51">
        <v>6.5</v>
      </c>
      <c r="Q51" s="10">
        <f t="shared" si="1"/>
        <v>4.333333333333333</v>
      </c>
      <c r="R51" s="10">
        <f t="shared" si="11"/>
        <v>2.166666666666667</v>
      </c>
      <c r="S51" s="10">
        <v>60</v>
      </c>
      <c r="T51" s="10">
        <v>2580</v>
      </c>
      <c r="U51" s="11">
        <f t="shared" si="12"/>
        <v>43.052343749999999</v>
      </c>
      <c r="V51" s="2">
        <f t="shared" si="15"/>
        <v>480</v>
      </c>
      <c r="W51" s="2">
        <f t="shared" si="3"/>
        <v>9.4499907714978928</v>
      </c>
      <c r="X51" s="2"/>
      <c r="Y51" t="s">
        <v>48</v>
      </c>
      <c r="Z51">
        <v>8</v>
      </c>
      <c r="AA51" s="17" t="s">
        <v>83</v>
      </c>
      <c r="AB51" s="17" t="s">
        <v>81</v>
      </c>
      <c r="AC51" s="18" t="s">
        <v>82</v>
      </c>
      <c r="AD51" s="2">
        <v>150</v>
      </c>
      <c r="AE51" s="10">
        <v>60</v>
      </c>
      <c r="AF51" s="2">
        <f t="shared" si="13"/>
        <v>73.154801759110995</v>
      </c>
      <c r="AG51" s="11">
        <f t="shared" si="14"/>
        <v>9537.7499999999982</v>
      </c>
      <c r="AH51" s="10">
        <v>2580</v>
      </c>
      <c r="AI51" s="2">
        <f t="shared" si="16"/>
        <v>4.125</v>
      </c>
      <c r="AJ51">
        <v>3.3639999999999999</v>
      </c>
      <c r="AK51">
        <v>4.125</v>
      </c>
    </row>
    <row r="52" spans="1:37" ht="18" thickBot="1" x14ac:dyDescent="0.25">
      <c r="J52" s="2">
        <v>20698</v>
      </c>
      <c r="K52">
        <v>500</v>
      </c>
      <c r="L52">
        <v>3.7130000000000001</v>
      </c>
      <c r="M52" s="19"/>
      <c r="N52">
        <v>4.875</v>
      </c>
      <c r="P52">
        <v>6.5</v>
      </c>
      <c r="Q52" s="10">
        <f t="shared" si="1"/>
        <v>4.333333333333333</v>
      </c>
      <c r="R52" s="10">
        <f t="shared" si="11"/>
        <v>2.166666666666667</v>
      </c>
      <c r="S52" s="10">
        <v>60</v>
      </c>
      <c r="T52" s="10">
        <v>2580</v>
      </c>
      <c r="U52" s="11">
        <f t="shared" si="12"/>
        <v>43.052343749999999</v>
      </c>
      <c r="V52" s="2">
        <f t="shared" si="15"/>
        <v>500</v>
      </c>
      <c r="W52" s="2">
        <f t="shared" si="3"/>
        <v>9.8437403869769717</v>
      </c>
      <c r="X52" s="2"/>
      <c r="AA52" s="17" t="s">
        <v>83</v>
      </c>
      <c r="AB52" s="17" t="s">
        <v>81</v>
      </c>
      <c r="AC52" s="18" t="s">
        <v>82</v>
      </c>
      <c r="AD52" s="2">
        <v>150</v>
      </c>
      <c r="AE52" s="10">
        <v>60</v>
      </c>
      <c r="AF52" s="2">
        <f t="shared" si="13"/>
        <v>76.202918499073945</v>
      </c>
      <c r="AG52" s="11">
        <f t="shared" si="14"/>
        <v>9935.1562499999982</v>
      </c>
      <c r="AH52" s="10">
        <v>2580</v>
      </c>
      <c r="AI52" s="2">
        <f t="shared" si="16"/>
        <v>4.875</v>
      </c>
      <c r="AJ52">
        <v>3.7130000000000001</v>
      </c>
      <c r="AK52">
        <v>4.875</v>
      </c>
    </row>
    <row r="53" spans="1:37" ht="18" thickBot="1" x14ac:dyDescent="0.25">
      <c r="J53" s="2">
        <v>15335</v>
      </c>
      <c r="K53">
        <v>510</v>
      </c>
      <c r="L53">
        <v>3.0779999999999998</v>
      </c>
      <c r="M53" s="19"/>
      <c r="N53">
        <v>5</v>
      </c>
      <c r="P53">
        <v>6.5</v>
      </c>
      <c r="Q53" s="10">
        <f t="shared" si="1"/>
        <v>4.333333333333333</v>
      </c>
      <c r="R53" s="10">
        <f t="shared" si="11"/>
        <v>2.166666666666667</v>
      </c>
      <c r="S53" s="10">
        <v>60</v>
      </c>
      <c r="T53" s="10">
        <v>2580</v>
      </c>
      <c r="U53" s="11">
        <f t="shared" si="12"/>
        <v>43.052343749999999</v>
      </c>
      <c r="V53" s="2">
        <f t="shared" si="15"/>
        <v>510</v>
      </c>
      <c r="W53" s="2">
        <f t="shared" si="3"/>
        <v>10.040615194716512</v>
      </c>
      <c r="X53" s="2"/>
      <c r="AA53" s="17" t="s">
        <v>83</v>
      </c>
      <c r="AB53" s="17" t="s">
        <v>81</v>
      </c>
      <c r="AC53" s="18" t="s">
        <v>82</v>
      </c>
      <c r="AD53" s="2">
        <v>150</v>
      </c>
      <c r="AE53" s="10">
        <v>60</v>
      </c>
      <c r="AF53" s="2">
        <f t="shared" si="13"/>
        <v>77.726976869055434</v>
      </c>
      <c r="AG53" s="11">
        <f t="shared" si="14"/>
        <v>10133.859374999998</v>
      </c>
      <c r="AH53" s="10">
        <v>2580</v>
      </c>
      <c r="AI53" s="2">
        <f t="shared" si="16"/>
        <v>5</v>
      </c>
      <c r="AJ53">
        <v>3.0779999999999998</v>
      </c>
      <c r="AK53">
        <v>5</v>
      </c>
    </row>
    <row r="54" spans="1:37" ht="18" thickBot="1" x14ac:dyDescent="0.25">
      <c r="J54" s="2">
        <v>15336</v>
      </c>
      <c r="K54">
        <v>490</v>
      </c>
      <c r="L54">
        <v>3.8119999999999998</v>
      </c>
      <c r="M54" s="19"/>
      <c r="N54">
        <v>7.125</v>
      </c>
      <c r="P54">
        <v>6.5</v>
      </c>
      <c r="Q54" s="10">
        <f t="shared" si="1"/>
        <v>4.333333333333333</v>
      </c>
      <c r="R54" s="10">
        <f t="shared" si="11"/>
        <v>2.166666666666667</v>
      </c>
      <c r="S54" s="10">
        <v>60</v>
      </c>
      <c r="T54" s="10">
        <v>2580</v>
      </c>
      <c r="U54" s="11">
        <f t="shared" si="12"/>
        <v>43.052343749999999</v>
      </c>
      <c r="V54" s="2">
        <f t="shared" si="15"/>
        <v>490</v>
      </c>
      <c r="W54" s="2">
        <f t="shared" si="3"/>
        <v>9.6468655792374332</v>
      </c>
      <c r="X54" s="2"/>
      <c r="AA54" s="17" t="s">
        <v>83</v>
      </c>
      <c r="AB54" s="17" t="s">
        <v>81</v>
      </c>
      <c r="AC54" s="18" t="s">
        <v>82</v>
      </c>
      <c r="AD54" s="2">
        <v>150</v>
      </c>
      <c r="AE54" s="10">
        <v>60</v>
      </c>
      <c r="AF54" s="2">
        <f t="shared" si="13"/>
        <v>74.67886012909247</v>
      </c>
      <c r="AG54" s="11">
        <f t="shared" si="14"/>
        <v>9736.4531249999982</v>
      </c>
      <c r="AH54" s="10">
        <v>2580</v>
      </c>
      <c r="AI54" s="2">
        <f t="shared" si="16"/>
        <v>7.125</v>
      </c>
      <c r="AJ54">
        <v>3.8119999999999998</v>
      </c>
      <c r="AK54">
        <v>7.125</v>
      </c>
    </row>
    <row r="55" spans="1:37" ht="18" thickBot="1" x14ac:dyDescent="0.25">
      <c r="J55" s="2">
        <v>23314</v>
      </c>
      <c r="K55">
        <v>470</v>
      </c>
      <c r="L55">
        <v>4.3780000000000001</v>
      </c>
      <c r="M55" s="19"/>
      <c r="N55">
        <v>5</v>
      </c>
      <c r="P55">
        <v>6.5</v>
      </c>
      <c r="Q55" s="10">
        <f t="shared" si="1"/>
        <v>4.333333333333333</v>
      </c>
      <c r="R55" s="10">
        <f t="shared" si="11"/>
        <v>2.166666666666667</v>
      </c>
      <c r="S55" s="10">
        <v>60</v>
      </c>
      <c r="T55" s="10">
        <v>2580</v>
      </c>
      <c r="U55" s="11">
        <f t="shared" si="12"/>
        <v>43.052343749999999</v>
      </c>
      <c r="V55" s="2">
        <v>400</v>
      </c>
      <c r="W55" s="2">
        <f t="shared" si="3"/>
        <v>7.8749923095815779</v>
      </c>
      <c r="X55" s="2"/>
      <c r="AA55" s="17" t="s">
        <v>83</v>
      </c>
      <c r="AB55" s="17" t="s">
        <v>81</v>
      </c>
      <c r="AC55" s="18" t="s">
        <v>82</v>
      </c>
      <c r="AD55" s="2">
        <v>150</v>
      </c>
      <c r="AE55" s="10">
        <v>60</v>
      </c>
      <c r="AF55" s="2">
        <f t="shared" si="13"/>
        <v>60.96233479925916</v>
      </c>
      <c r="AG55" s="11">
        <f t="shared" si="14"/>
        <v>7948.1249999999991</v>
      </c>
      <c r="AH55" s="10">
        <v>2580</v>
      </c>
      <c r="AI55" s="2">
        <v>400</v>
      </c>
      <c r="AJ55">
        <v>4.3780000000000001</v>
      </c>
      <c r="AK55">
        <v>5</v>
      </c>
    </row>
    <row r="56" spans="1:37" ht="18" thickBot="1" x14ac:dyDescent="0.25">
      <c r="A56" t="s">
        <v>51</v>
      </c>
      <c r="B56">
        <v>1</v>
      </c>
      <c r="C56">
        <v>120</v>
      </c>
      <c r="E56" t="s">
        <v>27</v>
      </c>
      <c r="F56" t="s">
        <v>52</v>
      </c>
      <c r="G56">
        <v>5</v>
      </c>
      <c r="H56" t="s">
        <v>32</v>
      </c>
      <c r="I56" t="s">
        <v>53</v>
      </c>
      <c r="J56" s="2">
        <v>20697</v>
      </c>
      <c r="K56">
        <v>320</v>
      </c>
      <c r="L56">
        <v>5.7469999999999999</v>
      </c>
      <c r="M56" s="19" t="s">
        <v>46</v>
      </c>
      <c r="N56">
        <v>5.625</v>
      </c>
      <c r="P56">
        <v>4</v>
      </c>
      <c r="Q56" s="10">
        <f t="shared" si="1"/>
        <v>2.6666666666666665</v>
      </c>
      <c r="R56" s="10">
        <f t="shared" si="11"/>
        <v>1.3333333333333335</v>
      </c>
      <c r="S56" s="10">
        <v>120</v>
      </c>
      <c r="T56" s="10">
        <v>3120</v>
      </c>
      <c r="U56" s="11">
        <f t="shared" si="12"/>
        <v>26.493749999999999</v>
      </c>
      <c r="V56" s="2">
        <v>250</v>
      </c>
      <c r="W56" s="2">
        <f t="shared" si="3"/>
        <v>4.4757179627464554</v>
      </c>
      <c r="X56" s="2"/>
      <c r="Y56" t="s">
        <v>51</v>
      </c>
      <c r="Z56">
        <v>9</v>
      </c>
      <c r="AA56" s="17" t="s">
        <v>83</v>
      </c>
      <c r="AB56" s="17" t="s">
        <v>81</v>
      </c>
      <c r="AC56" s="18" t="s">
        <v>82</v>
      </c>
      <c r="AD56" s="2">
        <v>150</v>
      </c>
      <c r="AE56" s="10">
        <v>120</v>
      </c>
      <c r="AF56" s="2">
        <f t="shared" si="13"/>
        <v>48.57002105243734</v>
      </c>
      <c r="AG56" s="11">
        <f t="shared" si="14"/>
        <v>4967.5781249999991</v>
      </c>
      <c r="AH56" s="10">
        <v>3120</v>
      </c>
      <c r="AI56" s="2">
        <v>250</v>
      </c>
      <c r="AJ56">
        <v>5.7469999999999999</v>
      </c>
      <c r="AK56">
        <v>5.625</v>
      </c>
    </row>
    <row r="57" spans="1:37" ht="18" thickBot="1" x14ac:dyDescent="0.25">
      <c r="J57" s="2">
        <v>20698</v>
      </c>
      <c r="K57">
        <v>360</v>
      </c>
      <c r="L57">
        <v>4.5819999999999999</v>
      </c>
      <c r="M57" s="19"/>
      <c r="N57">
        <v>7.75</v>
      </c>
      <c r="P57">
        <v>4</v>
      </c>
      <c r="Q57" s="10">
        <f t="shared" si="1"/>
        <v>2.6666666666666665</v>
      </c>
      <c r="R57" s="10">
        <f t="shared" si="11"/>
        <v>1.3333333333333335</v>
      </c>
      <c r="S57" s="10">
        <v>120</v>
      </c>
      <c r="T57" s="10">
        <v>3120</v>
      </c>
      <c r="U57" s="11">
        <f t="shared" si="12"/>
        <v>26.493749999999999</v>
      </c>
      <c r="V57" s="2">
        <f>K57</f>
        <v>360</v>
      </c>
      <c r="W57" s="2">
        <f t="shared" si="3"/>
        <v>6.4450338663548958</v>
      </c>
      <c r="X57" s="2"/>
      <c r="AA57" s="17" t="s">
        <v>83</v>
      </c>
      <c r="AB57" s="17" t="s">
        <v>81</v>
      </c>
      <c r="AC57" s="18" t="s">
        <v>82</v>
      </c>
      <c r="AD57" s="2">
        <v>150</v>
      </c>
      <c r="AE57" s="10">
        <v>120</v>
      </c>
      <c r="AF57" s="2">
        <f t="shared" si="13"/>
        <v>69.940830315509771</v>
      </c>
      <c r="AG57" s="11">
        <f t="shared" si="14"/>
        <v>7153.3124999999991</v>
      </c>
      <c r="AH57" s="10">
        <v>3120</v>
      </c>
      <c r="AI57" s="2">
        <f>N57</f>
        <v>7.75</v>
      </c>
      <c r="AJ57">
        <v>4.5819999999999999</v>
      </c>
      <c r="AK57">
        <v>7.75</v>
      </c>
    </row>
    <row r="58" spans="1:37" ht="18" thickBot="1" x14ac:dyDescent="0.25">
      <c r="J58" s="2">
        <v>15335</v>
      </c>
      <c r="K58">
        <v>250</v>
      </c>
      <c r="L58">
        <v>7.0810000000000004</v>
      </c>
      <c r="M58" s="19"/>
      <c r="N58">
        <v>7.625</v>
      </c>
      <c r="P58">
        <v>4</v>
      </c>
      <c r="Q58" s="10">
        <f t="shared" si="1"/>
        <v>2.6666666666666665</v>
      </c>
      <c r="R58" s="10">
        <f t="shared" si="11"/>
        <v>1.3333333333333335</v>
      </c>
      <c r="S58" s="10">
        <v>120</v>
      </c>
      <c r="T58" s="10">
        <v>3120</v>
      </c>
      <c r="U58" s="11">
        <f t="shared" si="12"/>
        <v>26.493749999999999</v>
      </c>
      <c r="V58" s="2">
        <v>150</v>
      </c>
      <c r="W58" s="2">
        <f t="shared" si="3"/>
        <v>2.6854307776478734</v>
      </c>
      <c r="X58" s="2"/>
      <c r="AA58" s="17" t="s">
        <v>83</v>
      </c>
      <c r="AB58" s="17" t="s">
        <v>81</v>
      </c>
      <c r="AC58" s="18" t="s">
        <v>82</v>
      </c>
      <c r="AD58" s="2">
        <v>150</v>
      </c>
      <c r="AE58" s="10">
        <v>120</v>
      </c>
      <c r="AF58" s="2">
        <f t="shared" si="13"/>
        <v>29.142012631462404</v>
      </c>
      <c r="AG58" s="11">
        <f t="shared" si="14"/>
        <v>2980.5468749999995</v>
      </c>
      <c r="AH58" s="10">
        <v>3120</v>
      </c>
      <c r="AI58" s="2">
        <v>150</v>
      </c>
      <c r="AJ58">
        <v>7.0810000000000004</v>
      </c>
      <c r="AK58">
        <v>7.625</v>
      </c>
    </row>
    <row r="59" spans="1:37" ht="18" thickBot="1" x14ac:dyDescent="0.25">
      <c r="J59" s="2">
        <v>15336</v>
      </c>
      <c r="K59">
        <v>300</v>
      </c>
      <c r="L59">
        <v>5.12</v>
      </c>
      <c r="M59" s="19"/>
      <c r="N59">
        <v>9.875</v>
      </c>
      <c r="P59">
        <v>4</v>
      </c>
      <c r="Q59" s="10">
        <f t="shared" si="1"/>
        <v>2.6666666666666665</v>
      </c>
      <c r="R59" s="10">
        <f t="shared" si="11"/>
        <v>1.3333333333333335</v>
      </c>
      <c r="S59" s="10">
        <v>120</v>
      </c>
      <c r="T59" s="10">
        <v>3120</v>
      </c>
      <c r="U59" s="11">
        <f t="shared" si="12"/>
        <v>26.493749999999999</v>
      </c>
      <c r="V59" s="2">
        <f t="shared" ref="V59:V65" si="17">K59</f>
        <v>300</v>
      </c>
      <c r="W59" s="2">
        <f t="shared" si="3"/>
        <v>5.3708615552957468</v>
      </c>
      <c r="X59" s="2"/>
      <c r="AA59" s="17" t="s">
        <v>83</v>
      </c>
      <c r="AB59" s="17" t="s">
        <v>81</v>
      </c>
      <c r="AC59" s="18" t="s">
        <v>82</v>
      </c>
      <c r="AD59" s="2">
        <v>150</v>
      </c>
      <c r="AE59" s="10">
        <v>120</v>
      </c>
      <c r="AF59" s="2">
        <f t="shared" si="13"/>
        <v>58.284025262924807</v>
      </c>
      <c r="AG59" s="11">
        <f t="shared" si="14"/>
        <v>5961.0937499999991</v>
      </c>
      <c r="AH59" s="10">
        <v>3120</v>
      </c>
      <c r="AI59" s="2">
        <f t="shared" ref="AI59:AI65" si="18">N59</f>
        <v>9.875</v>
      </c>
      <c r="AJ59">
        <v>5.12</v>
      </c>
      <c r="AK59">
        <v>9.875</v>
      </c>
    </row>
    <row r="60" spans="1:37" ht="18" thickBot="1" x14ac:dyDescent="0.25">
      <c r="J60" s="2">
        <v>23314</v>
      </c>
      <c r="K60">
        <v>400</v>
      </c>
      <c r="L60">
        <v>3.3050000000000002</v>
      </c>
      <c r="M60" s="19"/>
      <c r="N60">
        <v>8</v>
      </c>
      <c r="P60">
        <v>4</v>
      </c>
      <c r="Q60" s="10">
        <f t="shared" si="1"/>
        <v>2.6666666666666665</v>
      </c>
      <c r="R60" s="10">
        <f t="shared" si="11"/>
        <v>1.3333333333333335</v>
      </c>
      <c r="S60" s="10">
        <v>120</v>
      </c>
      <c r="T60" s="10">
        <v>3120</v>
      </c>
      <c r="U60" s="11">
        <f t="shared" si="12"/>
        <v>26.493749999999999</v>
      </c>
      <c r="V60" s="2">
        <f t="shared" si="17"/>
        <v>400</v>
      </c>
      <c r="W60" s="2">
        <f t="shared" si="3"/>
        <v>7.1611487403943288</v>
      </c>
      <c r="X60" s="2"/>
      <c r="AA60" s="17" t="s">
        <v>83</v>
      </c>
      <c r="AB60" s="17" t="s">
        <v>81</v>
      </c>
      <c r="AC60" s="18" t="s">
        <v>82</v>
      </c>
      <c r="AD60" s="2">
        <v>150</v>
      </c>
      <c r="AE60" s="10">
        <v>120</v>
      </c>
      <c r="AF60" s="2">
        <f t="shared" si="13"/>
        <v>77.712033683899747</v>
      </c>
      <c r="AG60" s="11">
        <f t="shared" si="14"/>
        <v>7948.1249999999991</v>
      </c>
      <c r="AH60" s="10">
        <v>3120</v>
      </c>
      <c r="AI60" s="2">
        <f t="shared" si="18"/>
        <v>8</v>
      </c>
      <c r="AJ60">
        <v>3.3050000000000002</v>
      </c>
      <c r="AK60">
        <v>8</v>
      </c>
    </row>
    <row r="61" spans="1:37" ht="18" thickBot="1" x14ac:dyDescent="0.25">
      <c r="A61" t="s">
        <v>54</v>
      </c>
      <c r="B61">
        <v>1</v>
      </c>
      <c r="C61">
        <v>160</v>
      </c>
      <c r="E61" t="s">
        <v>55</v>
      </c>
      <c r="F61" t="s">
        <v>14</v>
      </c>
      <c r="G61">
        <v>5</v>
      </c>
      <c r="H61" t="s">
        <v>32</v>
      </c>
      <c r="J61" s="2">
        <v>20697</v>
      </c>
      <c r="K61">
        <v>430</v>
      </c>
      <c r="L61">
        <v>1.786</v>
      </c>
      <c r="M61" s="20">
        <v>0.11041666666666666</v>
      </c>
      <c r="N61">
        <v>5.875</v>
      </c>
      <c r="P61">
        <v>5.5</v>
      </c>
      <c r="Q61" s="10">
        <f t="shared" si="1"/>
        <v>3.6666666666666665</v>
      </c>
      <c r="R61" s="10">
        <f t="shared" si="11"/>
        <v>1.8333333333333335</v>
      </c>
      <c r="S61" s="10">
        <v>160</v>
      </c>
      <c r="T61" s="10">
        <v>5760</v>
      </c>
      <c r="U61" s="11">
        <f t="shared" si="12"/>
        <v>36.428906249999997</v>
      </c>
      <c r="V61" s="2">
        <f t="shared" si="17"/>
        <v>430</v>
      </c>
      <c r="W61" s="2">
        <f t="shared" si="3"/>
        <v>5.665747474468346</v>
      </c>
      <c r="X61" s="2"/>
      <c r="Y61" t="s">
        <v>54</v>
      </c>
      <c r="Z61">
        <v>10</v>
      </c>
      <c r="AA61" s="17" t="s">
        <v>83</v>
      </c>
      <c r="AB61" s="17" t="s">
        <v>81</v>
      </c>
      <c r="AC61" s="18" t="s">
        <v>82</v>
      </c>
      <c r="AD61" s="2">
        <v>150</v>
      </c>
      <c r="AE61" s="10">
        <v>160</v>
      </c>
      <c r="AF61" s="2">
        <f t="shared" si="13"/>
        <v>71.243523378692643</v>
      </c>
      <c r="AG61" s="11">
        <f t="shared" si="14"/>
        <v>8544.2343749999982</v>
      </c>
      <c r="AH61" s="10">
        <v>5760</v>
      </c>
      <c r="AI61" s="2">
        <f t="shared" si="18"/>
        <v>5.875</v>
      </c>
      <c r="AJ61">
        <v>1.786</v>
      </c>
      <c r="AK61">
        <v>5.875</v>
      </c>
    </row>
    <row r="62" spans="1:37" ht="18" thickBot="1" x14ac:dyDescent="0.25">
      <c r="J62" s="2">
        <v>20698</v>
      </c>
      <c r="K62">
        <v>490</v>
      </c>
      <c r="L62">
        <v>1.5029999999999999</v>
      </c>
      <c r="M62" s="19"/>
      <c r="N62">
        <v>5.5</v>
      </c>
      <c r="P62">
        <v>5.5</v>
      </c>
      <c r="Q62" s="10">
        <f t="shared" si="1"/>
        <v>3.6666666666666665</v>
      </c>
      <c r="R62" s="10">
        <f t="shared" si="11"/>
        <v>1.8333333333333335</v>
      </c>
      <c r="S62" s="10">
        <v>160</v>
      </c>
      <c r="T62" s="10">
        <v>5760</v>
      </c>
      <c r="U62" s="11">
        <f t="shared" si="12"/>
        <v>36.428906249999997</v>
      </c>
      <c r="V62" s="2">
        <f t="shared" si="17"/>
        <v>490</v>
      </c>
      <c r="W62" s="2">
        <f t="shared" si="3"/>
        <v>6.4563168895104415</v>
      </c>
      <c r="X62" s="2"/>
      <c r="AA62" s="17" t="s">
        <v>83</v>
      </c>
      <c r="AB62" s="17" t="s">
        <v>81</v>
      </c>
      <c r="AC62" s="18" t="s">
        <v>82</v>
      </c>
      <c r="AD62" s="2">
        <v>150</v>
      </c>
      <c r="AE62" s="10">
        <v>160</v>
      </c>
      <c r="AF62" s="2">
        <f t="shared" si="13"/>
        <v>81.184480129207898</v>
      </c>
      <c r="AG62" s="11">
        <f t="shared" si="14"/>
        <v>9736.4531249999982</v>
      </c>
      <c r="AH62" s="10">
        <v>5760</v>
      </c>
      <c r="AI62" s="2">
        <f t="shared" si="18"/>
        <v>5.5</v>
      </c>
      <c r="AJ62">
        <v>1.5029999999999999</v>
      </c>
      <c r="AK62">
        <v>5.5</v>
      </c>
    </row>
    <row r="63" spans="1:37" ht="18" thickBot="1" x14ac:dyDescent="0.25">
      <c r="J63" s="2">
        <v>15335</v>
      </c>
      <c r="K63">
        <v>450</v>
      </c>
      <c r="L63">
        <v>1.7589999999999999</v>
      </c>
      <c r="M63" s="19"/>
      <c r="N63">
        <v>8.5</v>
      </c>
      <c r="P63">
        <v>5.5</v>
      </c>
      <c r="Q63" s="10">
        <f t="shared" si="1"/>
        <v>3.6666666666666665</v>
      </c>
      <c r="R63" s="10">
        <f t="shared" si="11"/>
        <v>1.8333333333333335</v>
      </c>
      <c r="S63" s="10">
        <v>160</v>
      </c>
      <c r="T63" s="10">
        <v>5760</v>
      </c>
      <c r="U63" s="11">
        <f t="shared" si="12"/>
        <v>36.428906249999997</v>
      </c>
      <c r="V63" s="2">
        <f t="shared" si="17"/>
        <v>450</v>
      </c>
      <c r="W63" s="2">
        <f t="shared" si="3"/>
        <v>5.9292706128157109</v>
      </c>
      <c r="X63" s="2"/>
      <c r="AA63" s="17" t="s">
        <v>83</v>
      </c>
      <c r="AB63" s="17" t="s">
        <v>81</v>
      </c>
      <c r="AC63" s="18" t="s">
        <v>82</v>
      </c>
      <c r="AD63" s="2">
        <v>150</v>
      </c>
      <c r="AE63" s="10">
        <v>160</v>
      </c>
      <c r="AF63" s="2">
        <f t="shared" si="13"/>
        <v>74.557175628864385</v>
      </c>
      <c r="AG63" s="11">
        <f t="shared" si="14"/>
        <v>8941.6406249999982</v>
      </c>
      <c r="AH63" s="10">
        <v>5760</v>
      </c>
      <c r="AI63" s="2">
        <f t="shared" si="18"/>
        <v>8.5</v>
      </c>
      <c r="AJ63">
        <v>1.7589999999999999</v>
      </c>
      <c r="AK63">
        <v>8.5</v>
      </c>
    </row>
    <row r="64" spans="1:37" ht="18" thickBot="1" x14ac:dyDescent="0.25">
      <c r="J64" s="2">
        <v>15336</v>
      </c>
      <c r="K64">
        <v>425</v>
      </c>
      <c r="L64">
        <v>1.7689999999999999</v>
      </c>
      <c r="M64" s="19"/>
      <c r="N64">
        <v>6.25</v>
      </c>
      <c r="P64">
        <v>5.5</v>
      </c>
      <c r="Q64" s="10">
        <f t="shared" si="1"/>
        <v>3.6666666666666665</v>
      </c>
      <c r="R64" s="10">
        <f t="shared" si="11"/>
        <v>1.8333333333333335</v>
      </c>
      <c r="S64" s="10">
        <v>160</v>
      </c>
      <c r="T64" s="10">
        <v>5760</v>
      </c>
      <c r="U64" s="11">
        <f t="shared" si="12"/>
        <v>36.428906249999997</v>
      </c>
      <c r="V64" s="2">
        <f t="shared" si="17"/>
        <v>425</v>
      </c>
      <c r="W64" s="2">
        <f t="shared" si="3"/>
        <v>5.5998666898815053</v>
      </c>
      <c r="X64" s="2"/>
      <c r="AA64" s="17" t="s">
        <v>83</v>
      </c>
      <c r="AB64" s="17" t="s">
        <v>81</v>
      </c>
      <c r="AC64" s="18" t="s">
        <v>82</v>
      </c>
      <c r="AD64" s="2">
        <v>150</v>
      </c>
      <c r="AE64" s="10">
        <v>160</v>
      </c>
      <c r="AF64" s="2">
        <f t="shared" si="13"/>
        <v>70.415110316149708</v>
      </c>
      <c r="AG64" s="11">
        <f t="shared" si="14"/>
        <v>8444.8828124999982</v>
      </c>
      <c r="AH64" s="10">
        <v>5760</v>
      </c>
      <c r="AI64" s="2">
        <f t="shared" si="18"/>
        <v>6.25</v>
      </c>
      <c r="AJ64">
        <v>1.7689999999999999</v>
      </c>
      <c r="AK64">
        <v>6.25</v>
      </c>
    </row>
    <row r="65" spans="10:37" ht="18" thickBot="1" x14ac:dyDescent="0.25">
      <c r="J65" s="2">
        <v>23314</v>
      </c>
      <c r="K65">
        <v>400</v>
      </c>
      <c r="L65">
        <v>2.577</v>
      </c>
      <c r="M65" s="19"/>
      <c r="N65">
        <v>5.375</v>
      </c>
      <c r="P65">
        <v>5.5</v>
      </c>
      <c r="Q65" s="10">
        <f t="shared" si="1"/>
        <v>3.6666666666666665</v>
      </c>
      <c r="R65" s="10">
        <f t="shared" si="11"/>
        <v>1.8333333333333335</v>
      </c>
      <c r="S65" s="10">
        <v>160</v>
      </c>
      <c r="T65" s="10">
        <v>5760</v>
      </c>
      <c r="U65" s="11">
        <f t="shared" si="12"/>
        <v>36.428906249999997</v>
      </c>
      <c r="V65" s="2">
        <f t="shared" si="17"/>
        <v>400</v>
      </c>
      <c r="W65" s="2">
        <f t="shared" si="3"/>
        <v>5.2704627669472988</v>
      </c>
      <c r="X65" s="2"/>
      <c r="AA65" s="17" t="s">
        <v>83</v>
      </c>
      <c r="AB65" s="17" t="s">
        <v>81</v>
      </c>
      <c r="AC65" s="18" t="s">
        <v>82</v>
      </c>
      <c r="AD65" s="2">
        <v>150</v>
      </c>
      <c r="AE65" s="10">
        <v>160</v>
      </c>
      <c r="AF65" s="2">
        <f t="shared" si="13"/>
        <v>66.273045003435016</v>
      </c>
      <c r="AG65" s="11">
        <f t="shared" si="14"/>
        <v>7948.1249999999991</v>
      </c>
      <c r="AH65" s="10">
        <v>5760</v>
      </c>
      <c r="AI65" s="2">
        <f t="shared" si="18"/>
        <v>5.375</v>
      </c>
      <c r="AJ65">
        <v>2.577</v>
      </c>
      <c r="AK65">
        <v>5.375</v>
      </c>
    </row>
  </sheetData>
  <mergeCells count="13">
    <mergeCell ref="M26:M30"/>
    <mergeCell ref="M2:M5"/>
    <mergeCell ref="BH5:BJ5"/>
    <mergeCell ref="B7:B8"/>
    <mergeCell ref="M7:M11"/>
    <mergeCell ref="M21:M25"/>
    <mergeCell ref="M61:M65"/>
    <mergeCell ref="M31:M35"/>
    <mergeCell ref="M36:M40"/>
    <mergeCell ref="M41:M45"/>
    <mergeCell ref="M46:M50"/>
    <mergeCell ref="M51:M55"/>
    <mergeCell ref="M56:M60"/>
  </mergeCells>
  <phoneticPr fontId="4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9834B-A280-4E35-AE88-445786DEAEE2}">
  <dimension ref="A1:BC65"/>
  <sheetViews>
    <sheetView topLeftCell="AK11" zoomScale="85" zoomScaleNormal="85" workbookViewId="0">
      <selection activeCell="Y2" sqref="Y2:Y65"/>
    </sheetView>
  </sheetViews>
  <sheetFormatPr baseColWidth="10" defaultColWidth="8.83203125" defaultRowHeight="15" x14ac:dyDescent="0.2"/>
  <cols>
    <col min="3" max="3" width="10.1640625" bestFit="1" customWidth="1"/>
    <col min="4" max="5" width="10.1640625" customWidth="1"/>
    <col min="6" max="6" width="12.5" bestFit="1" customWidth="1"/>
    <col min="7" max="7" width="9.83203125" bestFit="1" customWidth="1"/>
    <col min="9" max="9" width="13.33203125" bestFit="1" customWidth="1"/>
    <col min="10" max="10" width="12.6640625" bestFit="1" customWidth="1"/>
    <col min="11" max="11" width="10.33203125" bestFit="1" customWidth="1"/>
    <col min="12" max="12" width="10.33203125" customWidth="1"/>
    <col min="14" max="14" width="11.5" bestFit="1" customWidth="1"/>
    <col min="22" max="22" width="10.33203125" bestFit="1" customWidth="1"/>
    <col min="23" max="25" width="10.33203125" customWidth="1"/>
    <col min="49" max="49" width="27.1640625" customWidth="1"/>
    <col min="50" max="50" width="28.6640625" customWidth="1"/>
    <col min="51" max="51" width="25.83203125" customWidth="1"/>
    <col min="54" max="54" width="16.1640625" customWidth="1"/>
    <col min="55" max="55" width="21" customWidth="1"/>
  </cols>
  <sheetData>
    <row r="1" spans="1:55" x14ac:dyDescent="0.2">
      <c r="A1" s="1" t="s">
        <v>0</v>
      </c>
      <c r="B1" s="1" t="s">
        <v>5</v>
      </c>
      <c r="C1" s="1" t="s">
        <v>1</v>
      </c>
      <c r="D1" s="1" t="s">
        <v>11</v>
      </c>
      <c r="E1" s="1" t="s">
        <v>12</v>
      </c>
      <c r="F1" s="1" t="s">
        <v>4</v>
      </c>
      <c r="G1" s="1" t="s">
        <v>2</v>
      </c>
      <c r="H1" s="1" t="s">
        <v>3</v>
      </c>
      <c r="I1" s="1" t="s">
        <v>6</v>
      </c>
      <c r="J1" s="1" t="s">
        <v>7</v>
      </c>
      <c r="K1" s="1" t="s">
        <v>8</v>
      </c>
      <c r="L1" s="7" t="s">
        <v>34</v>
      </c>
      <c r="M1" s="1" t="s">
        <v>9</v>
      </c>
      <c r="N1" s="1" t="s">
        <v>56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58</v>
      </c>
      <c r="V1" s="1" t="s">
        <v>8</v>
      </c>
      <c r="W1" s="1" t="s">
        <v>64</v>
      </c>
      <c r="X1" s="1" t="s">
        <v>57</v>
      </c>
      <c r="Y1" s="7" t="s">
        <v>34</v>
      </c>
      <c r="Z1" s="1"/>
      <c r="AA1" s="1"/>
    </row>
    <row r="2" spans="1:55" x14ac:dyDescent="0.2">
      <c r="A2" s="2" t="s">
        <v>10</v>
      </c>
      <c r="B2" s="3">
        <v>1</v>
      </c>
      <c r="C2" s="2">
        <v>100</v>
      </c>
      <c r="D2" s="2" t="s">
        <v>13</v>
      </c>
      <c r="E2" s="2">
        <v>35</v>
      </c>
      <c r="F2" s="2" t="s">
        <v>14</v>
      </c>
      <c r="G2" s="3">
        <v>4</v>
      </c>
      <c r="H2" s="2" t="s">
        <v>15</v>
      </c>
      <c r="I2" t="s">
        <v>24</v>
      </c>
      <c r="J2" s="2">
        <v>20697</v>
      </c>
      <c r="K2" s="2">
        <v>400</v>
      </c>
      <c r="L2" s="2">
        <v>4.8259999999999996</v>
      </c>
      <c r="M2" s="19" t="s">
        <v>16</v>
      </c>
      <c r="N2">
        <v>6.75</v>
      </c>
      <c r="P2">
        <v>6</v>
      </c>
      <c r="Q2" s="10">
        <f>P2*(2/3)</f>
        <v>4</v>
      </c>
      <c r="R2" s="10">
        <f>P2-Q2</f>
        <v>2</v>
      </c>
      <c r="S2" s="10">
        <v>100</v>
      </c>
      <c r="T2" s="10">
        <v>4000</v>
      </c>
      <c r="U2" s="11">
        <f t="shared" ref="U2:U11" si="0">$AD$5*$AD$8*1000*R2</f>
        <v>39.740624999999994</v>
      </c>
      <c r="V2" s="2">
        <f>K2</f>
        <v>400</v>
      </c>
      <c r="W2" s="2">
        <f>V2/T2^0.5</f>
        <v>6.324555320336759</v>
      </c>
      <c r="X2" s="2">
        <f>V2/U2^0.5</f>
        <v>63.45160979984442</v>
      </c>
      <c r="Y2" s="2">
        <v>4.8259999999999996</v>
      </c>
    </row>
    <row r="3" spans="1:55" x14ac:dyDescent="0.2">
      <c r="A3" s="2"/>
      <c r="B3" s="3"/>
      <c r="C3" s="2"/>
      <c r="D3" s="2"/>
      <c r="E3" s="2"/>
      <c r="F3" s="2"/>
      <c r="G3" s="3"/>
      <c r="H3" s="2"/>
      <c r="I3" s="2"/>
      <c r="J3" s="2">
        <v>20698</v>
      </c>
      <c r="K3" s="2">
        <v>430</v>
      </c>
      <c r="L3" s="2">
        <v>5.28</v>
      </c>
      <c r="M3" s="19"/>
      <c r="N3">
        <v>7.875</v>
      </c>
      <c r="P3">
        <v>6</v>
      </c>
      <c r="Q3" s="10">
        <f t="shared" ref="Q3:Q65" si="1">P3*(2/3)</f>
        <v>4</v>
      </c>
      <c r="R3" s="10">
        <f t="shared" ref="R3:R35" si="2">P3-Q3</f>
        <v>2</v>
      </c>
      <c r="S3" s="10">
        <v>100</v>
      </c>
      <c r="T3" s="10">
        <v>4000</v>
      </c>
      <c r="U3" s="11">
        <f t="shared" si="0"/>
        <v>39.740624999999994</v>
      </c>
      <c r="V3" s="2">
        <v>300</v>
      </c>
      <c r="W3" s="2">
        <f t="shared" ref="W3:W65" si="3">V3/T3^0.5</f>
        <v>4.7434164902525691</v>
      </c>
      <c r="X3" s="2">
        <f>V3/U3^0.5</f>
        <v>47.588707349883315</v>
      </c>
      <c r="Y3" s="2">
        <v>5.28</v>
      </c>
    </row>
    <row r="4" spans="1:55" x14ac:dyDescent="0.2">
      <c r="A4" s="2"/>
      <c r="B4" s="3"/>
      <c r="C4" s="2"/>
      <c r="D4" s="2"/>
      <c r="E4" s="2"/>
      <c r="F4" s="2"/>
      <c r="G4" s="3"/>
      <c r="H4" s="2"/>
      <c r="I4" s="2"/>
      <c r="J4" s="2">
        <v>15335</v>
      </c>
      <c r="K4" s="2">
        <v>470</v>
      </c>
      <c r="L4" s="2"/>
      <c r="M4" s="19"/>
      <c r="P4">
        <v>6</v>
      </c>
      <c r="Q4" s="10">
        <f t="shared" si="1"/>
        <v>4</v>
      </c>
      <c r="R4" s="10">
        <f t="shared" si="2"/>
        <v>2</v>
      </c>
      <c r="S4" s="10">
        <v>100</v>
      </c>
      <c r="T4" s="10">
        <v>4000</v>
      </c>
      <c r="U4" s="11">
        <f t="shared" si="0"/>
        <v>39.740624999999994</v>
      </c>
      <c r="V4" s="2">
        <f>K4</f>
        <v>470</v>
      </c>
      <c r="W4" s="2">
        <f t="shared" si="3"/>
        <v>7.4313525013956916</v>
      </c>
      <c r="X4" s="2"/>
      <c r="Y4" s="2"/>
    </row>
    <row r="5" spans="1:55" ht="17" thickBot="1" x14ac:dyDescent="0.25">
      <c r="A5" s="2"/>
      <c r="B5" s="3"/>
      <c r="C5" s="2"/>
      <c r="D5" s="2"/>
      <c r="E5" s="2"/>
      <c r="F5" s="2"/>
      <c r="G5" s="3"/>
      <c r="H5" s="2"/>
      <c r="I5" s="2"/>
      <c r="J5" s="2">
        <v>15336</v>
      </c>
      <c r="K5" s="2">
        <v>100</v>
      </c>
      <c r="L5" s="2">
        <v>13.28</v>
      </c>
      <c r="M5" s="19"/>
      <c r="N5">
        <v>9.125</v>
      </c>
      <c r="P5">
        <v>6</v>
      </c>
      <c r="Q5" s="10">
        <f t="shared" si="1"/>
        <v>4</v>
      </c>
      <c r="R5" s="10">
        <f t="shared" si="2"/>
        <v>2</v>
      </c>
      <c r="S5" s="10">
        <v>100</v>
      </c>
      <c r="T5" s="10">
        <v>4000</v>
      </c>
      <c r="U5" s="11">
        <f t="shared" si="0"/>
        <v>39.740624999999994</v>
      </c>
      <c r="V5" s="2">
        <v>150</v>
      </c>
      <c r="W5" s="2">
        <f t="shared" si="3"/>
        <v>2.3717082451262845</v>
      </c>
      <c r="X5" s="2">
        <f>V5/U5^0.5</f>
        <v>23.794353674941657</v>
      </c>
      <c r="Y5" s="2">
        <v>13.28</v>
      </c>
      <c r="AD5">
        <f>(3.14*0.15*0.15)/4</f>
        <v>1.7662499999999998E-2</v>
      </c>
      <c r="AW5" s="21" t="s">
        <v>68</v>
      </c>
      <c r="AX5" s="21"/>
      <c r="AY5" s="21"/>
    </row>
    <row r="6" spans="1:55" ht="17" thickBot="1" x14ac:dyDescent="0.25">
      <c r="A6" s="2"/>
      <c r="B6" s="3"/>
      <c r="C6" s="2"/>
      <c r="D6" s="2"/>
      <c r="E6" s="2"/>
      <c r="F6" s="2"/>
      <c r="G6" s="3"/>
      <c r="H6" s="2"/>
      <c r="I6" s="2"/>
      <c r="J6" s="2">
        <v>23314</v>
      </c>
      <c r="K6" s="2">
        <v>120</v>
      </c>
      <c r="L6" s="2">
        <v>10.29</v>
      </c>
      <c r="M6" s="3"/>
      <c r="N6">
        <v>9</v>
      </c>
      <c r="P6">
        <v>6</v>
      </c>
      <c r="Q6" s="10">
        <f t="shared" si="1"/>
        <v>4</v>
      </c>
      <c r="R6" s="10">
        <f t="shared" si="2"/>
        <v>2</v>
      </c>
      <c r="S6" s="10">
        <v>100</v>
      </c>
      <c r="T6" s="10">
        <v>4000</v>
      </c>
      <c r="U6" s="11">
        <f t="shared" si="0"/>
        <v>39.740624999999994</v>
      </c>
      <c r="V6" s="2">
        <f>K6</f>
        <v>120</v>
      </c>
      <c r="W6" s="2">
        <f t="shared" si="3"/>
        <v>1.8973665961010275</v>
      </c>
      <c r="X6" s="2"/>
      <c r="Y6" s="2"/>
      <c r="AD6">
        <v>2.2000000000000002</v>
      </c>
      <c r="AW6" s="14" t="s">
        <v>66</v>
      </c>
      <c r="AX6" s="15" t="s">
        <v>67</v>
      </c>
      <c r="AY6" s="15"/>
      <c r="BB6" s="14" t="s">
        <v>66</v>
      </c>
      <c r="BC6" s="15" t="s">
        <v>67</v>
      </c>
    </row>
    <row r="7" spans="1:55" ht="17" thickBot="1" x14ac:dyDescent="0.25">
      <c r="A7" t="s">
        <v>17</v>
      </c>
      <c r="B7" s="19">
        <v>2</v>
      </c>
      <c r="C7">
        <v>45</v>
      </c>
      <c r="D7" t="s">
        <v>20</v>
      </c>
      <c r="F7" t="s">
        <v>19</v>
      </c>
      <c r="G7" s="4">
        <v>3</v>
      </c>
      <c r="H7" t="s">
        <v>15</v>
      </c>
      <c r="I7" t="s">
        <v>21</v>
      </c>
      <c r="J7" s="2">
        <v>20697</v>
      </c>
      <c r="K7" s="2">
        <v>150</v>
      </c>
      <c r="L7" s="2">
        <v>8.8179999999999996</v>
      </c>
      <c r="M7" s="19" t="s">
        <v>18</v>
      </c>
      <c r="N7">
        <v>27</v>
      </c>
      <c r="P7">
        <v>5</v>
      </c>
      <c r="Q7" s="10">
        <f t="shared" si="1"/>
        <v>3.333333333333333</v>
      </c>
      <c r="R7" s="10">
        <f t="shared" si="2"/>
        <v>1.666666666666667</v>
      </c>
      <c r="S7" s="10">
        <v>45</v>
      </c>
      <c r="T7" s="10">
        <v>1485</v>
      </c>
      <c r="U7" s="11">
        <f t="shared" si="0"/>
        <v>33.1171875</v>
      </c>
      <c r="V7" s="2">
        <f>K7</f>
        <v>150</v>
      </c>
      <c r="W7" s="2">
        <f t="shared" si="3"/>
        <v>3.892494720807615</v>
      </c>
      <c r="X7" s="2">
        <f>V7/U7^0.5</f>
        <v>26.065408498042984</v>
      </c>
      <c r="Y7" s="2">
        <v>8.8179999999999996</v>
      </c>
      <c r="AD7">
        <f>AD5*AD6</f>
        <v>3.8857499999999996E-2</v>
      </c>
      <c r="AW7" s="12">
        <v>150</v>
      </c>
      <c r="AX7" s="16">
        <f t="shared" ref="AX7:AX15" si="4">(AW7/$AX$27)^2</f>
        <v>14.327951222922545</v>
      </c>
      <c r="AY7" s="16">
        <f>(AW7/BB27)^2</f>
        <v>1462.1785078166929</v>
      </c>
      <c r="BB7" s="12">
        <v>150</v>
      </c>
      <c r="BC7" s="16">
        <f>(BB7/$AY$27)^2</f>
        <v>44.971074269598304</v>
      </c>
    </row>
    <row r="8" spans="1:55" ht="17" thickBot="1" x14ac:dyDescent="0.25">
      <c r="B8" s="19"/>
      <c r="F8" t="s">
        <v>15</v>
      </c>
      <c r="G8" s="4"/>
      <c r="J8" s="2">
        <v>20698</v>
      </c>
      <c r="K8" s="2">
        <v>100</v>
      </c>
      <c r="L8" s="2">
        <v>17.34</v>
      </c>
      <c r="M8" s="19"/>
      <c r="N8">
        <v>10.63</v>
      </c>
      <c r="P8">
        <v>5</v>
      </c>
      <c r="Q8" s="10">
        <f t="shared" si="1"/>
        <v>3.333333333333333</v>
      </c>
      <c r="R8" s="10">
        <f t="shared" si="2"/>
        <v>1.666666666666667</v>
      </c>
      <c r="S8" s="10">
        <v>45</v>
      </c>
      <c r="T8" s="10">
        <v>1485</v>
      </c>
      <c r="U8" s="11">
        <f t="shared" si="0"/>
        <v>33.1171875</v>
      </c>
      <c r="V8" s="2">
        <f>K8</f>
        <v>100</v>
      </c>
      <c r="W8" s="2">
        <f t="shared" si="3"/>
        <v>2.59499648053841</v>
      </c>
      <c r="X8" s="2">
        <f>V8/U8^0.5</f>
        <v>17.376938998695323</v>
      </c>
      <c r="Y8" s="2">
        <v>17.34</v>
      </c>
      <c r="AD8">
        <v>1.125</v>
      </c>
      <c r="AW8" s="12">
        <v>200</v>
      </c>
      <c r="AX8" s="16">
        <f t="shared" si="4"/>
        <v>25.471913285195637</v>
      </c>
      <c r="AY8" s="16"/>
      <c r="BB8" s="12">
        <v>200</v>
      </c>
      <c r="BC8" s="16">
        <f t="shared" ref="BC8:BC15" si="5">(BB8/$AY$27)^2</f>
        <v>79.948576479285862</v>
      </c>
    </row>
    <row r="9" spans="1:55" ht="17" thickBot="1" x14ac:dyDescent="0.25">
      <c r="B9" s="4"/>
      <c r="G9" s="4"/>
      <c r="J9" s="2">
        <v>15335</v>
      </c>
      <c r="K9" s="2"/>
      <c r="L9" s="2">
        <v>16.34</v>
      </c>
      <c r="M9" s="19"/>
      <c r="N9">
        <v>10.75</v>
      </c>
      <c r="P9">
        <v>5</v>
      </c>
      <c r="Q9" s="10">
        <f t="shared" si="1"/>
        <v>3.333333333333333</v>
      </c>
      <c r="R9" s="10">
        <f t="shared" si="2"/>
        <v>1.666666666666667</v>
      </c>
      <c r="S9" s="10">
        <v>45</v>
      </c>
      <c r="T9" s="10">
        <v>1485</v>
      </c>
      <c r="U9" s="11">
        <f t="shared" si="0"/>
        <v>33.1171875</v>
      </c>
      <c r="V9" s="2"/>
      <c r="W9" s="2"/>
      <c r="X9" s="2"/>
      <c r="Y9" s="2"/>
      <c r="AD9">
        <f>AD7*AD8*1000</f>
        <v>43.714687499999997</v>
      </c>
      <c r="AW9" s="12">
        <v>250</v>
      </c>
      <c r="AX9" s="16">
        <f t="shared" si="4"/>
        <v>39.799864508118183</v>
      </c>
      <c r="AY9" s="16"/>
      <c r="BB9" s="12">
        <v>250</v>
      </c>
      <c r="BC9" s="16">
        <f t="shared" si="5"/>
        <v>124.91965074888417</v>
      </c>
    </row>
    <row r="10" spans="1:55" ht="17" thickBot="1" x14ac:dyDescent="0.25">
      <c r="B10" s="4"/>
      <c r="G10" s="4"/>
      <c r="J10" s="2">
        <v>15336</v>
      </c>
      <c r="K10" s="2">
        <v>400</v>
      </c>
      <c r="L10" s="2">
        <v>3.5430000000000001</v>
      </c>
      <c r="M10" s="19"/>
      <c r="N10">
        <v>6.25</v>
      </c>
      <c r="P10">
        <v>5</v>
      </c>
      <c r="Q10" s="10">
        <f t="shared" si="1"/>
        <v>3.333333333333333</v>
      </c>
      <c r="R10" s="10">
        <f t="shared" si="2"/>
        <v>1.666666666666667</v>
      </c>
      <c r="S10" s="10">
        <v>45</v>
      </c>
      <c r="T10" s="10">
        <v>1485</v>
      </c>
      <c r="U10" s="11">
        <f t="shared" si="0"/>
        <v>33.1171875</v>
      </c>
      <c r="V10" s="2">
        <f>K10</f>
        <v>400</v>
      </c>
      <c r="W10" s="2">
        <f t="shared" si="3"/>
        <v>10.37998592215364</v>
      </c>
      <c r="X10" s="2">
        <f>V10/U10^0.5</f>
        <v>69.507755994781292</v>
      </c>
      <c r="Y10" s="2">
        <v>3.5430000000000001</v>
      </c>
      <c r="AW10" s="12">
        <v>300</v>
      </c>
      <c r="AX10" s="16">
        <f t="shared" si="4"/>
        <v>57.31180489169018</v>
      </c>
      <c r="AY10" s="16"/>
      <c r="BB10" s="12">
        <v>300</v>
      </c>
      <c r="BC10" s="16">
        <f t="shared" si="5"/>
        <v>179.88429707839322</v>
      </c>
    </row>
    <row r="11" spans="1:55" ht="17" thickBot="1" x14ac:dyDescent="0.25">
      <c r="B11" s="4"/>
      <c r="G11" s="4"/>
      <c r="J11" s="2">
        <v>23314</v>
      </c>
      <c r="K11" s="2">
        <v>250</v>
      </c>
      <c r="L11" s="2">
        <v>7.24</v>
      </c>
      <c r="M11" s="19"/>
      <c r="N11">
        <v>24.63</v>
      </c>
      <c r="P11">
        <v>5</v>
      </c>
      <c r="Q11" s="10">
        <f t="shared" si="1"/>
        <v>3.333333333333333</v>
      </c>
      <c r="R11" s="10">
        <f t="shared" si="2"/>
        <v>1.666666666666667</v>
      </c>
      <c r="S11" s="10">
        <v>45</v>
      </c>
      <c r="T11" s="10">
        <v>1485</v>
      </c>
      <c r="U11" s="11">
        <f t="shared" si="0"/>
        <v>33.1171875</v>
      </c>
      <c r="V11" s="2">
        <v>140</v>
      </c>
      <c r="W11" s="2">
        <f t="shared" si="3"/>
        <v>3.6329950727537743</v>
      </c>
      <c r="X11" s="2">
        <f>V11/U11^0.5</f>
        <v>24.327714598173454</v>
      </c>
      <c r="Y11" s="2">
        <v>7.24</v>
      </c>
      <c r="AW11" s="12">
        <v>350</v>
      </c>
      <c r="AX11" s="16">
        <f t="shared" si="4"/>
        <v>78.007734435911644</v>
      </c>
      <c r="AY11" s="16"/>
      <c r="BB11" s="12">
        <v>350</v>
      </c>
      <c r="BC11" s="16">
        <f t="shared" si="5"/>
        <v>244.84251546781297</v>
      </c>
    </row>
    <row r="12" spans="1:55" ht="17" thickBot="1" x14ac:dyDescent="0.25">
      <c r="B12" s="4"/>
      <c r="G12" s="4"/>
      <c r="J12" s="2"/>
      <c r="K12" s="2"/>
      <c r="L12" s="2"/>
      <c r="M12" s="3"/>
      <c r="Q12" s="10"/>
      <c r="R12" s="10"/>
      <c r="S12" s="10"/>
      <c r="T12" s="10"/>
      <c r="U12" s="11"/>
      <c r="V12" s="2"/>
      <c r="W12" s="2"/>
      <c r="X12" s="2"/>
      <c r="Y12" s="2"/>
      <c r="AW12" s="12">
        <v>400</v>
      </c>
      <c r="AX12" s="16">
        <f t="shared" si="4"/>
        <v>101.88765314078255</v>
      </c>
      <c r="AY12" s="16"/>
      <c r="BB12" s="12">
        <v>400</v>
      </c>
      <c r="BC12" s="16">
        <f t="shared" si="5"/>
        <v>319.79430591714345</v>
      </c>
    </row>
    <row r="13" spans="1:55" ht="17" thickBot="1" x14ac:dyDescent="0.25">
      <c r="B13" s="4"/>
      <c r="C13">
        <v>70</v>
      </c>
      <c r="G13" s="4"/>
      <c r="J13" s="2">
        <v>20697</v>
      </c>
      <c r="K13" s="2">
        <f>K7+240</f>
        <v>390</v>
      </c>
      <c r="L13" s="2">
        <v>2.0960000000000001</v>
      </c>
      <c r="M13" s="3"/>
      <c r="N13">
        <v>33</v>
      </c>
      <c r="P13">
        <v>5.5</v>
      </c>
      <c r="Q13" s="10">
        <f t="shared" si="1"/>
        <v>3.6666666666666665</v>
      </c>
      <c r="R13" s="10">
        <f t="shared" si="2"/>
        <v>1.8333333333333335</v>
      </c>
      <c r="S13" s="10">
        <v>70</v>
      </c>
      <c r="T13" s="10">
        <v>2520</v>
      </c>
      <c r="U13" s="11">
        <f>$AD$5*$AD$8*1000*R13</f>
        <v>36.428906249999997</v>
      </c>
      <c r="V13" s="2">
        <f>K13</f>
        <v>390</v>
      </c>
      <c r="W13" s="2">
        <f t="shared" si="3"/>
        <v>7.7689859606735592</v>
      </c>
      <c r="X13" s="2">
        <f t="shared" ref="X13:X17" si="6">V13/U13^0.5</f>
        <v>64.616218878349144</v>
      </c>
      <c r="Y13" s="2"/>
      <c r="AW13" s="12">
        <v>450</v>
      </c>
      <c r="AX13" s="16">
        <f t="shared" si="4"/>
        <v>128.95156100630291</v>
      </c>
      <c r="AY13" s="16"/>
      <c r="BB13" s="12">
        <v>450</v>
      </c>
      <c r="BC13" s="16">
        <f t="shared" si="5"/>
        <v>404.73966842638475</v>
      </c>
    </row>
    <row r="14" spans="1:55" ht="17" thickBot="1" x14ac:dyDescent="0.25">
      <c r="B14" s="4"/>
      <c r="G14" s="4"/>
      <c r="J14" s="2">
        <v>20698</v>
      </c>
      <c r="K14" s="2">
        <f t="shared" ref="K14:K17" si="7">K8+240</f>
        <v>340</v>
      </c>
      <c r="L14" s="2">
        <v>1.323</v>
      </c>
      <c r="M14" s="3"/>
      <c r="N14">
        <v>15.75</v>
      </c>
      <c r="P14">
        <v>5.5</v>
      </c>
      <c r="Q14" s="10">
        <f t="shared" si="1"/>
        <v>3.6666666666666665</v>
      </c>
      <c r="R14" s="10">
        <f t="shared" si="2"/>
        <v>1.8333333333333335</v>
      </c>
      <c r="S14" s="10">
        <v>70</v>
      </c>
      <c r="T14" s="10">
        <v>2520</v>
      </c>
      <c r="U14" s="11">
        <f>$AD$5*$AD$8*1000*R14</f>
        <v>36.428906249999997</v>
      </c>
      <c r="V14" s="2">
        <f>K14</f>
        <v>340</v>
      </c>
      <c r="W14" s="2">
        <f t="shared" si="3"/>
        <v>6.7729621195615639</v>
      </c>
      <c r="X14" s="2">
        <f t="shared" si="6"/>
        <v>56.33208825291976</v>
      </c>
      <c r="Y14" s="2"/>
      <c r="AW14" s="12">
        <v>500</v>
      </c>
      <c r="AX14" s="16">
        <f t="shared" si="4"/>
        <v>159.19945803247273</v>
      </c>
      <c r="AY14" s="16"/>
      <c r="BB14" s="12">
        <v>500</v>
      </c>
      <c r="BC14" s="16">
        <f t="shared" si="5"/>
        <v>499.67860299553666</v>
      </c>
    </row>
    <row r="15" spans="1:55" ht="17" thickBot="1" x14ac:dyDescent="0.25">
      <c r="B15" s="4"/>
      <c r="G15" s="4"/>
      <c r="J15" s="2">
        <v>15335</v>
      </c>
      <c r="K15" s="2">
        <f t="shared" si="7"/>
        <v>240</v>
      </c>
      <c r="L15" s="2">
        <v>2.6539999999999999</v>
      </c>
      <c r="M15" s="3"/>
      <c r="N15">
        <v>14.88</v>
      </c>
      <c r="P15">
        <v>5.5</v>
      </c>
      <c r="Q15" s="10">
        <f t="shared" si="1"/>
        <v>3.6666666666666665</v>
      </c>
      <c r="R15" s="10">
        <f t="shared" si="2"/>
        <v>1.8333333333333335</v>
      </c>
      <c r="S15" s="10">
        <v>70</v>
      </c>
      <c r="T15" s="10">
        <v>2520</v>
      </c>
      <c r="U15" s="11">
        <f>$AD$5*$AD$8*1000*R15</f>
        <v>36.428906249999997</v>
      </c>
      <c r="V15" s="2">
        <f>K15</f>
        <v>240</v>
      </c>
      <c r="W15" s="2">
        <f t="shared" si="3"/>
        <v>4.7809144373375752</v>
      </c>
      <c r="X15" s="2">
        <f t="shared" si="6"/>
        <v>39.763827002061007</v>
      </c>
      <c r="Y15" s="2"/>
      <c r="AW15" s="12">
        <v>550</v>
      </c>
      <c r="AX15" s="16">
        <f t="shared" si="4"/>
        <v>192.63134421929198</v>
      </c>
      <c r="AY15" s="16"/>
      <c r="BB15" s="12">
        <v>550</v>
      </c>
      <c r="BC15" s="16">
        <f t="shared" si="5"/>
        <v>604.61110962459929</v>
      </c>
    </row>
    <row r="16" spans="1:55" ht="17" thickBot="1" x14ac:dyDescent="0.25">
      <c r="B16" s="4"/>
      <c r="G16" s="4"/>
      <c r="J16" s="2">
        <v>15336</v>
      </c>
      <c r="K16" s="2">
        <f t="shared" si="7"/>
        <v>640</v>
      </c>
      <c r="L16" s="2">
        <v>1.921</v>
      </c>
      <c r="M16" s="3"/>
      <c r="N16">
        <v>6.25</v>
      </c>
      <c r="P16">
        <v>5.5</v>
      </c>
      <c r="Q16" s="10">
        <f t="shared" si="1"/>
        <v>3.6666666666666665</v>
      </c>
      <c r="R16" s="10">
        <f t="shared" si="2"/>
        <v>1.8333333333333335</v>
      </c>
      <c r="S16" s="10">
        <v>70</v>
      </c>
      <c r="T16" s="10">
        <v>2520</v>
      </c>
      <c r="U16" s="11">
        <f>$AD$5*$AD$8*1000*R16</f>
        <v>36.428906249999997</v>
      </c>
      <c r="V16" s="2">
        <f>K16</f>
        <v>640</v>
      </c>
      <c r="W16" s="2">
        <f t="shared" si="3"/>
        <v>12.749105166233532</v>
      </c>
      <c r="X16" s="2">
        <f t="shared" si="6"/>
        <v>106.03687200549602</v>
      </c>
      <c r="Y16" s="2"/>
      <c r="AY16" s="13"/>
    </row>
    <row r="17" spans="1:54" x14ac:dyDescent="0.2">
      <c r="B17" s="4"/>
      <c r="G17" s="4"/>
      <c r="J17" s="2">
        <v>23314</v>
      </c>
      <c r="K17" s="2">
        <f t="shared" si="7"/>
        <v>490</v>
      </c>
      <c r="L17" s="2">
        <v>1.9830000000000001</v>
      </c>
      <c r="M17" s="3"/>
      <c r="N17">
        <v>8.875</v>
      </c>
      <c r="P17">
        <v>5.5</v>
      </c>
      <c r="Q17" s="10">
        <f t="shared" si="1"/>
        <v>3.6666666666666665</v>
      </c>
      <c r="R17" s="10">
        <f t="shared" si="2"/>
        <v>1.8333333333333335</v>
      </c>
      <c r="S17" s="10">
        <v>70</v>
      </c>
      <c r="T17" s="10">
        <v>2520</v>
      </c>
      <c r="U17" s="11">
        <f>$AD$5*$AD$8*1000*R17</f>
        <v>36.428906249999997</v>
      </c>
      <c r="V17" s="2">
        <f>K17</f>
        <v>490</v>
      </c>
      <c r="W17" s="2">
        <f t="shared" si="3"/>
        <v>9.7610336428975479</v>
      </c>
      <c r="X17" s="2">
        <f t="shared" si="6"/>
        <v>81.184480129207898</v>
      </c>
      <c r="Y17" s="2"/>
    </row>
    <row r="18" spans="1:54" x14ac:dyDescent="0.2">
      <c r="B18" s="4"/>
      <c r="G18" s="4"/>
      <c r="J18" s="2"/>
      <c r="K18" s="2"/>
      <c r="L18" s="2"/>
      <c r="M18" s="3"/>
      <c r="Q18" s="10"/>
      <c r="R18" s="10"/>
      <c r="S18" s="10"/>
      <c r="T18" s="10"/>
      <c r="U18" s="11"/>
      <c r="V18" s="2"/>
      <c r="W18" s="2"/>
      <c r="X18" s="2"/>
      <c r="Y18" s="2"/>
    </row>
    <row r="19" spans="1:54" x14ac:dyDescent="0.2">
      <c r="B19" s="4"/>
      <c r="G19" s="4"/>
      <c r="J19" s="2"/>
      <c r="K19" s="2"/>
      <c r="L19" s="2"/>
      <c r="M19" s="3"/>
      <c r="Q19" s="10"/>
      <c r="R19" s="10"/>
      <c r="S19" s="10"/>
      <c r="T19" s="10"/>
      <c r="U19" s="11"/>
      <c r="V19" s="2"/>
      <c r="W19" s="2"/>
      <c r="X19" s="2"/>
      <c r="Y19" s="2"/>
    </row>
    <row r="20" spans="1:54" x14ac:dyDescent="0.2">
      <c r="B20" s="4"/>
      <c r="G20" s="4"/>
      <c r="J20" s="2"/>
      <c r="K20" s="2"/>
      <c r="L20" s="2"/>
      <c r="M20" s="3"/>
      <c r="Q20" s="10"/>
      <c r="R20" s="10"/>
      <c r="S20" s="10"/>
      <c r="T20" s="10"/>
      <c r="U20" s="11"/>
      <c r="V20" s="2"/>
      <c r="W20" s="2"/>
      <c r="X20" s="2"/>
      <c r="Y20" s="2"/>
    </row>
    <row r="21" spans="1:54" x14ac:dyDescent="0.2">
      <c r="A21" t="s">
        <v>22</v>
      </c>
      <c r="B21">
        <v>1</v>
      </c>
      <c r="D21" t="s">
        <v>23</v>
      </c>
      <c r="E21">
        <v>90</v>
      </c>
      <c r="F21" t="s">
        <v>14</v>
      </c>
      <c r="G21" s="4">
        <v>5</v>
      </c>
      <c r="H21">
        <v>4</v>
      </c>
      <c r="I21" t="s">
        <v>24</v>
      </c>
      <c r="J21" s="2">
        <v>20697</v>
      </c>
      <c r="K21" s="5">
        <v>350</v>
      </c>
      <c r="L21" s="6">
        <v>2.0089999999999999</v>
      </c>
      <c r="M21" s="20" t="s">
        <v>25</v>
      </c>
      <c r="N21">
        <v>28.88</v>
      </c>
      <c r="P21">
        <v>6</v>
      </c>
      <c r="Q21" s="10">
        <f t="shared" si="1"/>
        <v>4</v>
      </c>
      <c r="R21" s="10">
        <f t="shared" si="2"/>
        <v>2</v>
      </c>
      <c r="S21" s="10">
        <v>90</v>
      </c>
      <c r="T21" s="10">
        <v>3600</v>
      </c>
      <c r="U21" s="11">
        <f t="shared" ref="U21:U35" si="8">$AD$5*$AD$8*1000*R21</f>
        <v>39.740624999999994</v>
      </c>
      <c r="V21" s="2">
        <f>K21</f>
        <v>350</v>
      </c>
      <c r="W21" s="2">
        <f t="shared" si="3"/>
        <v>5.833333333333333</v>
      </c>
      <c r="X21" s="2">
        <f>V21/U21^0.5</f>
        <v>55.520158574863871</v>
      </c>
      <c r="Y21" s="6">
        <v>2.0089999999999999</v>
      </c>
      <c r="AW21" t="s">
        <v>69</v>
      </c>
      <c r="AX21">
        <v>5</v>
      </c>
      <c r="AY21">
        <v>10</v>
      </c>
      <c r="BB21">
        <v>5</v>
      </c>
    </row>
    <row r="22" spans="1:54" x14ac:dyDescent="0.2">
      <c r="G22" s="4"/>
      <c r="J22" s="2">
        <v>20698</v>
      </c>
      <c r="K22" s="5">
        <v>200</v>
      </c>
      <c r="L22" s="6">
        <v>4.3259999999999996</v>
      </c>
      <c r="M22" s="19"/>
      <c r="N22">
        <v>14.25</v>
      </c>
      <c r="P22">
        <v>6</v>
      </c>
      <c r="Q22" s="10">
        <f t="shared" si="1"/>
        <v>4</v>
      </c>
      <c r="R22" s="10">
        <f t="shared" si="2"/>
        <v>2</v>
      </c>
      <c r="S22" s="10">
        <v>90</v>
      </c>
      <c r="T22" s="10">
        <v>3600</v>
      </c>
      <c r="U22" s="11">
        <f t="shared" si="8"/>
        <v>39.740624999999994</v>
      </c>
      <c r="V22" s="2">
        <f>K22</f>
        <v>200</v>
      </c>
      <c r="W22" s="2">
        <f t="shared" si="3"/>
        <v>3.3333333333333335</v>
      </c>
      <c r="X22" s="2">
        <f>V22/U22^0.5</f>
        <v>31.72580489992221</v>
      </c>
      <c r="Y22" s="6">
        <v>4.3259999999999996</v>
      </c>
      <c r="AW22" t="s">
        <v>70</v>
      </c>
      <c r="AX22">
        <v>432.26</v>
      </c>
      <c r="AY22">
        <v>432.26</v>
      </c>
      <c r="BB22">
        <v>20.858000000000001</v>
      </c>
    </row>
    <row r="23" spans="1:54" x14ac:dyDescent="0.2">
      <c r="G23" s="4"/>
      <c r="J23" s="2">
        <v>15335</v>
      </c>
      <c r="K23" s="6">
        <v>250</v>
      </c>
      <c r="L23" s="6">
        <v>2.9580000000000002</v>
      </c>
      <c r="M23" s="19"/>
      <c r="N23">
        <v>8.125</v>
      </c>
      <c r="P23">
        <v>6</v>
      </c>
      <c r="Q23" s="10">
        <f t="shared" si="1"/>
        <v>4</v>
      </c>
      <c r="R23" s="10">
        <f t="shared" si="2"/>
        <v>2</v>
      </c>
      <c r="S23" s="10">
        <v>90</v>
      </c>
      <c r="T23" s="10">
        <v>3600</v>
      </c>
      <c r="U23" s="11">
        <f t="shared" si="8"/>
        <v>39.740624999999994</v>
      </c>
      <c r="V23" s="2">
        <f>K23</f>
        <v>250</v>
      </c>
      <c r="W23" s="2">
        <f t="shared" si="3"/>
        <v>4.166666666666667</v>
      </c>
      <c r="X23" s="2">
        <f>V23/U23^0.5</f>
        <v>39.657256124902766</v>
      </c>
      <c r="Y23" s="6">
        <v>2.9580000000000002</v>
      </c>
      <c r="AW23" t="s">
        <v>71</v>
      </c>
      <c r="AX23">
        <f>AX21/AX22</f>
        <v>1.1567112386063944E-2</v>
      </c>
      <c r="AY23">
        <f>AY21/AY22</f>
        <v>2.3134224772127888E-2</v>
      </c>
      <c r="BB23">
        <f>BB21/BB22</f>
        <v>0.23971617604755968</v>
      </c>
    </row>
    <row r="24" spans="1:54" x14ac:dyDescent="0.2">
      <c r="G24" s="4"/>
      <c r="J24" s="2">
        <v>15336</v>
      </c>
      <c r="K24" s="5">
        <v>250</v>
      </c>
      <c r="L24" s="6">
        <v>3.1749999999999998</v>
      </c>
      <c r="M24" s="19"/>
      <c r="N24">
        <v>28.75</v>
      </c>
      <c r="P24">
        <v>6</v>
      </c>
      <c r="Q24" s="10">
        <f t="shared" si="1"/>
        <v>4</v>
      </c>
      <c r="R24" s="10">
        <f t="shared" si="2"/>
        <v>2</v>
      </c>
      <c r="S24" s="10">
        <v>90</v>
      </c>
      <c r="T24" s="10">
        <v>3600</v>
      </c>
      <c r="U24" s="11">
        <f t="shared" si="8"/>
        <v>39.740624999999994</v>
      </c>
      <c r="V24" s="2">
        <f>K24</f>
        <v>250</v>
      </c>
      <c r="W24" s="2">
        <f t="shared" si="3"/>
        <v>4.166666666666667</v>
      </c>
      <c r="X24" s="2">
        <f>V24/U24^0.5</f>
        <v>39.657256124902766</v>
      </c>
      <c r="Y24" s="6">
        <v>3.1749999999999998</v>
      </c>
      <c r="AW24" t="s">
        <v>72</v>
      </c>
      <c r="AX24">
        <f>LOG10(AX23)</f>
        <v>-1.9367750447923202</v>
      </c>
      <c r="AY24">
        <f>LOG10(AY23)</f>
        <v>-1.6357450491283392</v>
      </c>
      <c r="BB24">
        <f>LOG10(BB23)</f>
        <v>-0.62030265878587199</v>
      </c>
    </row>
    <row r="25" spans="1:54" x14ac:dyDescent="0.2">
      <c r="G25" s="4"/>
      <c r="J25" s="2">
        <v>23314</v>
      </c>
      <c r="K25" s="6"/>
      <c r="L25" s="6">
        <v>2.4710000000000001</v>
      </c>
      <c r="M25" s="19"/>
      <c r="N25">
        <v>7.125</v>
      </c>
      <c r="P25">
        <v>6</v>
      </c>
      <c r="Q25" s="10">
        <f t="shared" si="1"/>
        <v>4</v>
      </c>
      <c r="R25" s="10">
        <f t="shared" si="2"/>
        <v>2</v>
      </c>
      <c r="S25" s="10">
        <v>90</v>
      </c>
      <c r="T25" s="10">
        <v>3600</v>
      </c>
      <c r="U25" s="11">
        <f t="shared" si="8"/>
        <v>39.740624999999994</v>
      </c>
      <c r="V25" s="2"/>
      <c r="W25" s="2"/>
      <c r="X25" s="2"/>
      <c r="Y25" s="6"/>
      <c r="AW25" t="s">
        <v>73</v>
      </c>
      <c r="AX25">
        <v>-1.212</v>
      </c>
      <c r="AY25">
        <v>-1.212</v>
      </c>
      <c r="BB25">
        <v>-1.0449999999999999</v>
      </c>
    </row>
    <row r="26" spans="1:54" x14ac:dyDescent="0.2">
      <c r="A26" t="s">
        <v>26</v>
      </c>
      <c r="B26">
        <v>1</v>
      </c>
      <c r="C26">
        <v>100</v>
      </c>
      <c r="D26" t="s">
        <v>28</v>
      </c>
      <c r="E26">
        <v>25</v>
      </c>
      <c r="F26" t="s">
        <v>14</v>
      </c>
      <c r="G26" s="4">
        <v>4</v>
      </c>
      <c r="H26" t="s">
        <v>29</v>
      </c>
      <c r="I26" t="s">
        <v>30</v>
      </c>
      <c r="J26" s="2">
        <v>20697</v>
      </c>
      <c r="K26" s="2">
        <v>450</v>
      </c>
      <c r="L26" s="6">
        <v>1.637</v>
      </c>
      <c r="M26" s="20">
        <v>8.8888888888888892E-2</v>
      </c>
      <c r="N26">
        <v>6.5</v>
      </c>
      <c r="P26">
        <v>5.5</v>
      </c>
      <c r="Q26" s="10">
        <f t="shared" si="1"/>
        <v>3.6666666666666665</v>
      </c>
      <c r="R26" s="10">
        <f t="shared" si="2"/>
        <v>1.8333333333333335</v>
      </c>
      <c r="S26" s="10">
        <v>100</v>
      </c>
      <c r="T26" s="10">
        <v>3600</v>
      </c>
      <c r="U26" s="11">
        <f t="shared" si="8"/>
        <v>36.428906249999997</v>
      </c>
      <c r="V26" s="2">
        <f t="shared" ref="V26:V35" si="9">K26</f>
        <v>450</v>
      </c>
      <c r="W26" s="2">
        <f t="shared" si="3"/>
        <v>7.5</v>
      </c>
      <c r="X26" s="2">
        <f>V26/U26^0.5</f>
        <v>74.557175628864385</v>
      </c>
      <c r="Y26" s="6">
        <v>1.637</v>
      </c>
      <c r="AW26" t="s">
        <v>74</v>
      </c>
      <c r="AX26">
        <f>AX24/AX25</f>
        <v>1.5979992118748516</v>
      </c>
      <c r="AY26">
        <f>AY24/AY25</f>
        <v>1.3496246279936792</v>
      </c>
      <c r="BB26">
        <f>BB24/BB25</f>
        <v>0.59359106103911197</v>
      </c>
    </row>
    <row r="27" spans="1:54" x14ac:dyDescent="0.2">
      <c r="J27" s="2">
        <v>20698</v>
      </c>
      <c r="K27">
        <v>400</v>
      </c>
      <c r="L27">
        <v>3.7909999999999999</v>
      </c>
      <c r="M27" s="20"/>
      <c r="N27">
        <v>6</v>
      </c>
      <c r="P27">
        <v>5.5</v>
      </c>
      <c r="Q27" s="10">
        <f t="shared" si="1"/>
        <v>3.6666666666666665</v>
      </c>
      <c r="R27" s="10">
        <f t="shared" si="2"/>
        <v>1.8333333333333335</v>
      </c>
      <c r="S27" s="10">
        <v>100</v>
      </c>
      <c r="T27" s="10">
        <v>3600</v>
      </c>
      <c r="U27" s="11">
        <f t="shared" si="8"/>
        <v>36.428906249999997</v>
      </c>
      <c r="V27" s="2">
        <f t="shared" si="9"/>
        <v>400</v>
      </c>
      <c r="W27" s="2">
        <f t="shared" si="3"/>
        <v>6.666666666666667</v>
      </c>
      <c r="X27" s="2">
        <f>V27/U27^0.5</f>
        <v>66.273045003435016</v>
      </c>
      <c r="Y27">
        <v>3.7909999999999999</v>
      </c>
      <c r="AW27" t="s">
        <v>75</v>
      </c>
      <c r="AX27">
        <f>10^AX26</f>
        <v>39.627731512034991</v>
      </c>
      <c r="AY27">
        <f>10^AY26</f>
        <v>22.367869897006596</v>
      </c>
      <c r="BB27">
        <f>10^BB26</f>
        <v>3.9227538836269531</v>
      </c>
    </row>
    <row r="28" spans="1:54" x14ac:dyDescent="0.2">
      <c r="J28" s="2">
        <v>15335</v>
      </c>
      <c r="K28">
        <v>380</v>
      </c>
      <c r="L28">
        <v>3.7530000000000001</v>
      </c>
      <c r="M28" s="20"/>
      <c r="N28">
        <v>6.25</v>
      </c>
      <c r="P28">
        <v>5.5</v>
      </c>
      <c r="Q28" s="10">
        <f t="shared" si="1"/>
        <v>3.6666666666666665</v>
      </c>
      <c r="R28" s="10">
        <f t="shared" si="2"/>
        <v>1.8333333333333335</v>
      </c>
      <c r="S28" s="10">
        <v>100</v>
      </c>
      <c r="T28" s="10">
        <v>3600</v>
      </c>
      <c r="U28" s="11">
        <f t="shared" si="8"/>
        <v>36.428906249999997</v>
      </c>
      <c r="V28" s="2">
        <f t="shared" si="9"/>
        <v>380</v>
      </c>
      <c r="W28" s="2">
        <f t="shared" si="3"/>
        <v>6.333333333333333</v>
      </c>
      <c r="X28" s="2">
        <f>V28/U28^0.5</f>
        <v>62.959392753263266</v>
      </c>
      <c r="Y28">
        <v>3.7530000000000001</v>
      </c>
    </row>
    <row r="29" spans="1:54" x14ac:dyDescent="0.2">
      <c r="J29" s="2">
        <v>15336</v>
      </c>
      <c r="K29">
        <v>380</v>
      </c>
      <c r="L29" s="8"/>
      <c r="M29" s="20"/>
      <c r="P29">
        <v>5.5</v>
      </c>
      <c r="Q29" s="10">
        <f t="shared" si="1"/>
        <v>3.6666666666666665</v>
      </c>
      <c r="R29" s="10">
        <f t="shared" si="2"/>
        <v>1.8333333333333335</v>
      </c>
      <c r="S29" s="10">
        <v>100</v>
      </c>
      <c r="T29" s="10">
        <v>3600</v>
      </c>
      <c r="U29" s="11">
        <f t="shared" si="8"/>
        <v>36.428906249999997</v>
      </c>
      <c r="V29" s="2">
        <f t="shared" si="9"/>
        <v>380</v>
      </c>
      <c r="W29" s="2">
        <f t="shared" si="3"/>
        <v>6.333333333333333</v>
      </c>
      <c r="X29" s="2"/>
      <c r="Y29" s="8"/>
    </row>
    <row r="30" spans="1:54" x14ac:dyDescent="0.2">
      <c r="J30" s="2">
        <v>23314</v>
      </c>
      <c r="K30">
        <v>300</v>
      </c>
      <c r="L30">
        <v>3.331</v>
      </c>
      <c r="M30" s="20"/>
      <c r="N30">
        <v>10.63</v>
      </c>
      <c r="P30">
        <v>5.5</v>
      </c>
      <c r="Q30" s="10">
        <f t="shared" si="1"/>
        <v>3.6666666666666665</v>
      </c>
      <c r="R30" s="10">
        <f t="shared" si="2"/>
        <v>1.8333333333333335</v>
      </c>
      <c r="S30" s="10">
        <v>100</v>
      </c>
      <c r="T30" s="10">
        <v>3600</v>
      </c>
      <c r="U30" s="11">
        <f t="shared" si="8"/>
        <v>36.428906249999997</v>
      </c>
      <c r="V30" s="2">
        <f t="shared" si="9"/>
        <v>300</v>
      </c>
      <c r="W30" s="2">
        <f t="shared" si="3"/>
        <v>5</v>
      </c>
      <c r="X30" s="2">
        <f>V30/U30^0.5</f>
        <v>49.704783752576262</v>
      </c>
      <c r="Y30">
        <v>3.331</v>
      </c>
    </row>
    <row r="31" spans="1:54" x14ac:dyDescent="0.2">
      <c r="A31" t="s">
        <v>31</v>
      </c>
      <c r="B31">
        <v>1</v>
      </c>
      <c r="C31">
        <v>90</v>
      </c>
      <c r="E31">
        <v>33</v>
      </c>
      <c r="F31" t="s">
        <v>29</v>
      </c>
      <c r="G31">
        <v>3</v>
      </c>
      <c r="H31" t="s">
        <v>32</v>
      </c>
      <c r="I31" t="s">
        <v>33</v>
      </c>
      <c r="J31" s="2">
        <v>20697</v>
      </c>
      <c r="K31">
        <v>450</v>
      </c>
      <c r="L31" s="4">
        <v>1.829</v>
      </c>
      <c r="M31" s="20">
        <v>0.13472222222222222</v>
      </c>
      <c r="N31">
        <v>5.75</v>
      </c>
      <c r="P31">
        <v>4.5</v>
      </c>
      <c r="Q31" s="10">
        <f t="shared" si="1"/>
        <v>3</v>
      </c>
      <c r="R31" s="10">
        <f t="shared" si="2"/>
        <v>1.5</v>
      </c>
      <c r="S31" s="10">
        <v>90</v>
      </c>
      <c r="T31" s="10">
        <v>2700</v>
      </c>
      <c r="U31" s="11">
        <f t="shared" si="8"/>
        <v>29.805468749999996</v>
      </c>
      <c r="V31" s="2">
        <f t="shared" si="9"/>
        <v>450</v>
      </c>
      <c r="W31" s="2">
        <f t="shared" si="3"/>
        <v>8.6602540378443855</v>
      </c>
      <c r="X31" s="2">
        <f>V31/U31^0.5</f>
        <v>82.426058996524361</v>
      </c>
      <c r="Y31" s="4">
        <v>1.829</v>
      </c>
    </row>
    <row r="32" spans="1:54" x14ac:dyDescent="0.2">
      <c r="J32" s="2">
        <v>20698</v>
      </c>
      <c r="K32">
        <v>470</v>
      </c>
      <c r="L32" s="4">
        <v>1.5760000000000001</v>
      </c>
      <c r="M32" s="19"/>
      <c r="N32">
        <v>19.88</v>
      </c>
      <c r="P32">
        <v>4.5</v>
      </c>
      <c r="Q32" s="10">
        <f t="shared" si="1"/>
        <v>3</v>
      </c>
      <c r="R32" s="10">
        <f t="shared" si="2"/>
        <v>1.5</v>
      </c>
      <c r="S32" s="10">
        <v>90</v>
      </c>
      <c r="T32" s="10">
        <v>2700</v>
      </c>
      <c r="U32" s="11">
        <f t="shared" si="8"/>
        <v>29.805468749999996</v>
      </c>
      <c r="V32" s="2">
        <f t="shared" si="9"/>
        <v>470</v>
      </c>
      <c r="W32" s="2">
        <f t="shared" si="3"/>
        <v>9.0451542173041375</v>
      </c>
      <c r="X32" s="2">
        <f>V32/U32^0.5</f>
        <v>86.089439396369897</v>
      </c>
      <c r="Y32" s="4">
        <v>1.5760000000000001</v>
      </c>
    </row>
    <row r="33" spans="1:25" x14ac:dyDescent="0.2">
      <c r="J33" s="2">
        <v>15335</v>
      </c>
      <c r="K33">
        <v>420</v>
      </c>
      <c r="L33" s="4">
        <v>1.8240000000000001</v>
      </c>
      <c r="M33" s="19"/>
      <c r="N33">
        <v>7.625</v>
      </c>
      <c r="P33">
        <v>4.5</v>
      </c>
      <c r="Q33" s="10">
        <f t="shared" si="1"/>
        <v>3</v>
      </c>
      <c r="R33" s="10">
        <f t="shared" si="2"/>
        <v>1.5</v>
      </c>
      <c r="S33" s="10">
        <v>90</v>
      </c>
      <c r="T33" s="10">
        <v>2700</v>
      </c>
      <c r="U33" s="11">
        <f t="shared" si="8"/>
        <v>29.805468749999996</v>
      </c>
      <c r="V33" s="2">
        <f t="shared" si="9"/>
        <v>420</v>
      </c>
      <c r="W33" s="2">
        <f t="shared" si="3"/>
        <v>8.0829037686547611</v>
      </c>
      <c r="X33" s="2">
        <f>V33/U33^0.5</f>
        <v>76.930988396756078</v>
      </c>
      <c r="Y33" s="4">
        <v>1.8240000000000001</v>
      </c>
    </row>
    <row r="34" spans="1:25" x14ac:dyDescent="0.2">
      <c r="J34" s="2">
        <v>15336</v>
      </c>
      <c r="K34">
        <v>440</v>
      </c>
      <c r="L34" s="9"/>
      <c r="M34" s="19"/>
      <c r="P34">
        <v>4.5</v>
      </c>
      <c r="Q34" s="10">
        <f t="shared" si="1"/>
        <v>3</v>
      </c>
      <c r="R34" s="10">
        <f t="shared" si="2"/>
        <v>1.5</v>
      </c>
      <c r="S34" s="10">
        <v>90</v>
      </c>
      <c r="T34" s="10">
        <v>2700</v>
      </c>
      <c r="U34" s="11">
        <f t="shared" si="8"/>
        <v>29.805468749999996</v>
      </c>
      <c r="V34" s="2">
        <f t="shared" si="9"/>
        <v>440</v>
      </c>
      <c r="W34" s="2">
        <f t="shared" si="3"/>
        <v>8.4678039481145113</v>
      </c>
      <c r="X34" s="2"/>
      <c r="Y34" s="9"/>
    </row>
    <row r="35" spans="1:25" x14ac:dyDescent="0.2">
      <c r="J35" s="2">
        <v>23314</v>
      </c>
      <c r="K35">
        <v>400</v>
      </c>
      <c r="L35" s="4">
        <v>1.964</v>
      </c>
      <c r="M35" s="19"/>
      <c r="N35">
        <v>5.75</v>
      </c>
      <c r="P35">
        <v>4.5</v>
      </c>
      <c r="Q35" s="10">
        <f t="shared" si="1"/>
        <v>3</v>
      </c>
      <c r="R35" s="10">
        <f t="shared" si="2"/>
        <v>1.5</v>
      </c>
      <c r="S35" s="10">
        <v>90</v>
      </c>
      <c r="T35" s="10">
        <v>2700</v>
      </c>
      <c r="U35" s="11">
        <f t="shared" si="8"/>
        <v>29.805468749999996</v>
      </c>
      <c r="V35" s="2">
        <f t="shared" si="9"/>
        <v>400</v>
      </c>
      <c r="W35" s="2">
        <f t="shared" si="3"/>
        <v>7.69800358919501</v>
      </c>
      <c r="X35" s="2">
        <f>V35/U35^0.5</f>
        <v>73.267607996910542</v>
      </c>
      <c r="Y35" s="4">
        <v>1.964</v>
      </c>
    </row>
    <row r="36" spans="1:25" x14ac:dyDescent="0.2">
      <c r="A36" t="s">
        <v>35</v>
      </c>
      <c r="B36">
        <v>1</v>
      </c>
      <c r="C36">
        <v>100</v>
      </c>
      <c r="E36">
        <v>35</v>
      </c>
      <c r="F36" t="s">
        <v>36</v>
      </c>
      <c r="G36">
        <v>4</v>
      </c>
      <c r="H36" t="s">
        <v>36</v>
      </c>
      <c r="I36" t="s">
        <v>37</v>
      </c>
      <c r="J36" s="2">
        <v>20697</v>
      </c>
      <c r="K36">
        <v>480</v>
      </c>
      <c r="M36" s="19" t="s">
        <v>42</v>
      </c>
      <c r="Q36" s="10"/>
      <c r="R36" s="10"/>
      <c r="S36" s="10"/>
      <c r="T36" s="10"/>
      <c r="U36" s="11"/>
      <c r="V36" s="2"/>
      <c r="W36" s="2"/>
      <c r="X36" s="2"/>
    </row>
    <row r="37" spans="1:25" x14ac:dyDescent="0.2">
      <c r="J37" s="2">
        <v>20698</v>
      </c>
      <c r="K37">
        <v>470</v>
      </c>
      <c r="M37" s="19"/>
      <c r="Q37" s="10"/>
      <c r="R37" s="10"/>
      <c r="S37" s="10"/>
      <c r="T37" s="10"/>
      <c r="U37" s="11"/>
      <c r="V37" s="2"/>
      <c r="W37" s="2"/>
      <c r="X37" s="2"/>
    </row>
    <row r="38" spans="1:25" x14ac:dyDescent="0.2">
      <c r="J38" s="2">
        <v>15335</v>
      </c>
      <c r="K38">
        <v>430</v>
      </c>
      <c r="M38" s="19"/>
      <c r="Q38" s="10"/>
      <c r="R38" s="10"/>
      <c r="S38" s="10"/>
      <c r="T38" s="10"/>
      <c r="U38" s="11"/>
      <c r="V38" s="2"/>
      <c r="W38" s="2"/>
      <c r="X38" s="2"/>
    </row>
    <row r="39" spans="1:25" x14ac:dyDescent="0.2">
      <c r="J39" s="2">
        <v>15336</v>
      </c>
      <c r="K39">
        <v>410</v>
      </c>
      <c r="M39" s="19"/>
      <c r="Q39" s="10"/>
      <c r="R39" s="10"/>
      <c r="S39" s="10"/>
      <c r="T39" s="10"/>
      <c r="U39" s="11"/>
      <c r="V39" s="2"/>
      <c r="W39" s="2"/>
      <c r="X39" s="2"/>
    </row>
    <row r="40" spans="1:25" x14ac:dyDescent="0.2">
      <c r="J40" s="2">
        <v>23314</v>
      </c>
      <c r="K40">
        <v>380</v>
      </c>
      <c r="M40" s="19"/>
      <c r="Q40" s="10"/>
      <c r="R40" s="10"/>
      <c r="S40" s="10"/>
      <c r="T40" s="10"/>
      <c r="U40" s="11"/>
      <c r="V40" s="2"/>
      <c r="W40" s="2"/>
      <c r="X40" s="2"/>
    </row>
    <row r="41" spans="1:25" x14ac:dyDescent="0.2">
      <c r="A41" t="s">
        <v>35</v>
      </c>
      <c r="B41">
        <v>2</v>
      </c>
      <c r="C41">
        <v>80</v>
      </c>
      <c r="D41" t="s">
        <v>38</v>
      </c>
      <c r="E41" t="s">
        <v>39</v>
      </c>
      <c r="F41" t="s">
        <v>15</v>
      </c>
      <c r="G41">
        <v>3</v>
      </c>
      <c r="H41" t="s">
        <v>15</v>
      </c>
      <c r="I41" t="s">
        <v>40</v>
      </c>
      <c r="J41" s="2">
        <v>20697</v>
      </c>
      <c r="K41">
        <v>510</v>
      </c>
      <c r="L41">
        <v>1.9790000000000001</v>
      </c>
      <c r="M41" s="19" t="s">
        <v>41</v>
      </c>
      <c r="N41">
        <v>5.75</v>
      </c>
      <c r="P41">
        <v>6</v>
      </c>
      <c r="Q41" s="10">
        <f t="shared" si="1"/>
        <v>4</v>
      </c>
      <c r="R41" s="10">
        <f t="shared" ref="R41" si="10">P41-Q41</f>
        <v>2</v>
      </c>
      <c r="S41" s="10">
        <v>80</v>
      </c>
      <c r="T41" s="10">
        <v>3200</v>
      </c>
      <c r="U41" s="11">
        <f t="shared" ref="U41:U65" si="11">$AD$5*$AD$8*1000*R41</f>
        <v>39.740624999999994</v>
      </c>
      <c r="V41" s="2">
        <f>K41</f>
        <v>510</v>
      </c>
      <c r="W41" s="2">
        <f t="shared" si="3"/>
        <v>9.0156114601284809</v>
      </c>
      <c r="X41" s="2">
        <f t="shared" ref="X41:X65" si="12">V41/U41^0.5</f>
        <v>80.900802494801638</v>
      </c>
      <c r="Y41">
        <v>1.9790000000000001</v>
      </c>
    </row>
    <row r="42" spans="1:25" x14ac:dyDescent="0.2">
      <c r="J42" s="2">
        <v>20698</v>
      </c>
      <c r="K42">
        <v>480</v>
      </c>
      <c r="L42">
        <v>2.31</v>
      </c>
      <c r="M42" s="19"/>
      <c r="N42">
        <v>5.375</v>
      </c>
      <c r="P42">
        <v>6</v>
      </c>
      <c r="Q42" s="10">
        <f t="shared" si="1"/>
        <v>4</v>
      </c>
      <c r="R42" s="10">
        <f t="shared" ref="R42:R65" si="13">P42-Q42</f>
        <v>2</v>
      </c>
      <c r="S42" s="10">
        <v>80</v>
      </c>
      <c r="T42" s="10">
        <v>3200</v>
      </c>
      <c r="U42" s="11">
        <f t="shared" si="11"/>
        <v>39.740624999999994</v>
      </c>
      <c r="V42" s="2">
        <f>K42</f>
        <v>480</v>
      </c>
      <c r="W42" s="2">
        <f t="shared" si="3"/>
        <v>8.4852813742385695</v>
      </c>
      <c r="X42" s="2">
        <f t="shared" si="12"/>
        <v>76.141931759813303</v>
      </c>
      <c r="Y42">
        <v>2.31</v>
      </c>
    </row>
    <row r="43" spans="1:25" x14ac:dyDescent="0.2">
      <c r="J43" s="2">
        <v>15335</v>
      </c>
      <c r="K43">
        <v>460</v>
      </c>
      <c r="L43">
        <v>2.9940000000000002</v>
      </c>
      <c r="M43" s="19"/>
      <c r="N43">
        <v>3</v>
      </c>
      <c r="P43">
        <v>6</v>
      </c>
      <c r="Q43" s="10">
        <f t="shared" si="1"/>
        <v>4</v>
      </c>
      <c r="R43" s="10">
        <f t="shared" si="13"/>
        <v>2</v>
      </c>
      <c r="S43" s="10">
        <v>80</v>
      </c>
      <c r="T43" s="10">
        <v>3200</v>
      </c>
      <c r="U43" s="11">
        <f t="shared" si="11"/>
        <v>39.740624999999994</v>
      </c>
      <c r="V43" s="2">
        <f>K43</f>
        <v>460</v>
      </c>
      <c r="W43" s="2">
        <f t="shared" si="3"/>
        <v>8.1317279836452965</v>
      </c>
      <c r="X43" s="2">
        <f t="shared" si="12"/>
        <v>72.96935126982109</v>
      </c>
      <c r="Y43">
        <v>2.9940000000000002</v>
      </c>
    </row>
    <row r="44" spans="1:25" x14ac:dyDescent="0.2">
      <c r="J44" s="2">
        <v>15336</v>
      </c>
      <c r="K44">
        <v>350</v>
      </c>
      <c r="L44">
        <v>5.0609999999999999</v>
      </c>
      <c r="M44" s="19"/>
      <c r="N44">
        <v>2.75</v>
      </c>
      <c r="P44">
        <v>6</v>
      </c>
      <c r="Q44" s="10">
        <f t="shared" si="1"/>
        <v>4</v>
      </c>
      <c r="R44" s="10">
        <f t="shared" si="13"/>
        <v>2</v>
      </c>
      <c r="S44" s="10">
        <v>80</v>
      </c>
      <c r="T44" s="10">
        <v>3200</v>
      </c>
      <c r="U44" s="11">
        <f t="shared" si="11"/>
        <v>39.740624999999994</v>
      </c>
      <c r="V44" s="2">
        <f>K44</f>
        <v>350</v>
      </c>
      <c r="W44" s="2">
        <f t="shared" si="3"/>
        <v>6.1871843353822902</v>
      </c>
      <c r="X44" s="2">
        <f t="shared" si="12"/>
        <v>55.520158574863871</v>
      </c>
      <c r="Y44">
        <v>5.0609999999999999</v>
      </c>
    </row>
    <row r="45" spans="1:25" x14ac:dyDescent="0.2">
      <c r="J45" s="2">
        <v>23314</v>
      </c>
      <c r="K45">
        <v>300</v>
      </c>
      <c r="L45">
        <v>7.3769999999999998</v>
      </c>
      <c r="M45" s="19"/>
      <c r="N45">
        <v>2.75</v>
      </c>
      <c r="P45">
        <v>6</v>
      </c>
      <c r="Q45" s="10">
        <f t="shared" si="1"/>
        <v>4</v>
      </c>
      <c r="R45" s="10">
        <f t="shared" si="13"/>
        <v>2</v>
      </c>
      <c r="S45" s="10">
        <v>80</v>
      </c>
      <c r="T45" s="10">
        <v>3200</v>
      </c>
      <c r="U45" s="11">
        <f t="shared" si="11"/>
        <v>39.740624999999994</v>
      </c>
      <c r="V45" s="2">
        <v>160</v>
      </c>
      <c r="W45" s="2">
        <f t="shared" si="3"/>
        <v>2.8284271247461898</v>
      </c>
      <c r="X45" s="2">
        <f t="shared" si="12"/>
        <v>25.380643919937768</v>
      </c>
      <c r="Y45">
        <v>7.3769999999999998</v>
      </c>
    </row>
    <row r="46" spans="1:25" x14ac:dyDescent="0.2">
      <c r="A46" t="s">
        <v>43</v>
      </c>
      <c r="B46">
        <v>1</v>
      </c>
      <c r="C46">
        <v>104</v>
      </c>
      <c r="E46" t="s">
        <v>44</v>
      </c>
      <c r="F46" t="s">
        <v>32</v>
      </c>
      <c r="G46">
        <v>7</v>
      </c>
      <c r="H46" t="s">
        <v>32</v>
      </c>
      <c r="I46" t="s">
        <v>45</v>
      </c>
      <c r="J46" s="2">
        <v>20697</v>
      </c>
      <c r="K46">
        <v>460</v>
      </c>
      <c r="L46">
        <v>1.6930000000000001</v>
      </c>
      <c r="M46" s="19" t="s">
        <v>46</v>
      </c>
      <c r="N46">
        <v>5.375</v>
      </c>
      <c r="P46">
        <v>6.5</v>
      </c>
      <c r="Q46" s="10">
        <f t="shared" si="1"/>
        <v>4.333333333333333</v>
      </c>
      <c r="R46" s="10">
        <f t="shared" si="13"/>
        <v>2.166666666666667</v>
      </c>
      <c r="S46" s="10">
        <v>104</v>
      </c>
      <c r="T46" s="10">
        <v>4472</v>
      </c>
      <c r="U46" s="11">
        <f t="shared" si="11"/>
        <v>43.052343749999999</v>
      </c>
      <c r="V46" s="2">
        <f t="shared" ref="V46:V54" si="14">K46</f>
        <v>460</v>
      </c>
      <c r="W46" s="2">
        <f t="shared" si="3"/>
        <v>6.8787089523776608</v>
      </c>
      <c r="X46" s="2">
        <f t="shared" si="12"/>
        <v>70.106685019148031</v>
      </c>
      <c r="Y46">
        <v>1.6930000000000001</v>
      </c>
    </row>
    <row r="47" spans="1:25" x14ac:dyDescent="0.2">
      <c r="J47" s="2">
        <v>20698</v>
      </c>
      <c r="K47">
        <v>480</v>
      </c>
      <c r="L47">
        <v>1.3540000000000001</v>
      </c>
      <c r="M47" s="19"/>
      <c r="N47">
        <v>3.375</v>
      </c>
      <c r="P47">
        <v>6.5</v>
      </c>
      <c r="Q47" s="10">
        <f t="shared" si="1"/>
        <v>4.333333333333333</v>
      </c>
      <c r="R47" s="10">
        <f t="shared" si="13"/>
        <v>2.166666666666667</v>
      </c>
      <c r="S47" s="10">
        <v>104</v>
      </c>
      <c r="T47" s="10">
        <v>4472</v>
      </c>
      <c r="U47" s="11">
        <f t="shared" si="11"/>
        <v>43.052343749999999</v>
      </c>
      <c r="V47" s="2">
        <f t="shared" si="14"/>
        <v>480</v>
      </c>
      <c r="W47" s="2">
        <f t="shared" si="3"/>
        <v>7.1777832546549503</v>
      </c>
      <c r="X47" s="2">
        <f t="shared" si="12"/>
        <v>73.154801759110995</v>
      </c>
      <c r="Y47">
        <v>1.3540000000000001</v>
      </c>
    </row>
    <row r="48" spans="1:25" x14ac:dyDescent="0.2">
      <c r="J48" s="2">
        <v>15335</v>
      </c>
      <c r="K48">
        <v>480</v>
      </c>
      <c r="L48">
        <v>1.405</v>
      </c>
      <c r="M48" s="19"/>
      <c r="N48">
        <v>8.375</v>
      </c>
      <c r="P48">
        <v>6.5</v>
      </c>
      <c r="Q48" s="10">
        <f t="shared" si="1"/>
        <v>4.333333333333333</v>
      </c>
      <c r="R48" s="10">
        <f t="shared" si="13"/>
        <v>2.166666666666667</v>
      </c>
      <c r="S48" s="10">
        <v>104</v>
      </c>
      <c r="T48" s="10">
        <v>4472</v>
      </c>
      <c r="U48" s="11">
        <f t="shared" si="11"/>
        <v>43.052343749999999</v>
      </c>
      <c r="V48" s="2">
        <f t="shared" si="14"/>
        <v>480</v>
      </c>
      <c r="W48" s="2">
        <f t="shared" si="3"/>
        <v>7.1777832546549503</v>
      </c>
      <c r="X48" s="2">
        <f t="shared" si="12"/>
        <v>73.154801759110995</v>
      </c>
      <c r="Y48">
        <v>1.405</v>
      </c>
    </row>
    <row r="49" spans="1:25" x14ac:dyDescent="0.2">
      <c r="J49" s="2">
        <v>15336</v>
      </c>
      <c r="K49">
        <v>470</v>
      </c>
      <c r="L49">
        <v>1.69</v>
      </c>
      <c r="M49" s="19"/>
      <c r="N49">
        <v>4.75</v>
      </c>
      <c r="P49">
        <v>6.5</v>
      </c>
      <c r="Q49" s="10">
        <f t="shared" si="1"/>
        <v>4.333333333333333</v>
      </c>
      <c r="R49" s="10">
        <f t="shared" si="13"/>
        <v>2.166666666666667</v>
      </c>
      <c r="S49" s="10">
        <v>104</v>
      </c>
      <c r="T49" s="10">
        <v>4472</v>
      </c>
      <c r="U49" s="11">
        <f t="shared" si="11"/>
        <v>43.052343749999999</v>
      </c>
      <c r="V49" s="2">
        <f t="shared" si="14"/>
        <v>470</v>
      </c>
      <c r="W49" s="2">
        <f t="shared" si="3"/>
        <v>7.0282461035163051</v>
      </c>
      <c r="X49" s="2">
        <f t="shared" si="12"/>
        <v>71.63074338912952</v>
      </c>
      <c r="Y49">
        <v>1.69</v>
      </c>
    </row>
    <row r="50" spans="1:25" x14ac:dyDescent="0.2">
      <c r="J50" s="2">
        <v>23314</v>
      </c>
      <c r="K50">
        <v>450</v>
      </c>
      <c r="L50">
        <v>1.796</v>
      </c>
      <c r="M50" s="19"/>
      <c r="N50">
        <v>5.125</v>
      </c>
      <c r="P50">
        <v>6.5</v>
      </c>
      <c r="Q50" s="10">
        <f t="shared" si="1"/>
        <v>4.333333333333333</v>
      </c>
      <c r="R50" s="10">
        <f t="shared" si="13"/>
        <v>2.166666666666667</v>
      </c>
      <c r="S50" s="10">
        <v>104</v>
      </c>
      <c r="T50" s="10">
        <v>4472</v>
      </c>
      <c r="U50" s="11">
        <f t="shared" si="11"/>
        <v>43.052343749999999</v>
      </c>
      <c r="V50" s="2">
        <f t="shared" si="14"/>
        <v>450</v>
      </c>
      <c r="W50" s="2">
        <f t="shared" si="3"/>
        <v>6.7291718012390156</v>
      </c>
      <c r="X50" s="2">
        <f t="shared" si="12"/>
        <v>68.582626649166556</v>
      </c>
      <c r="Y50">
        <v>1.796</v>
      </c>
    </row>
    <row r="51" spans="1:25" x14ac:dyDescent="0.2">
      <c r="A51" t="s">
        <v>48</v>
      </c>
      <c r="B51">
        <v>2</v>
      </c>
      <c r="C51">
        <v>60</v>
      </c>
      <c r="E51" t="s">
        <v>47</v>
      </c>
      <c r="F51" t="s">
        <v>14</v>
      </c>
      <c r="G51">
        <v>4</v>
      </c>
      <c r="H51" t="s">
        <v>32</v>
      </c>
      <c r="I51" t="s">
        <v>49</v>
      </c>
      <c r="J51" s="2">
        <v>20697</v>
      </c>
      <c r="K51">
        <v>480</v>
      </c>
      <c r="L51">
        <v>3.3639999999999999</v>
      </c>
      <c r="M51" s="19" t="s">
        <v>50</v>
      </c>
      <c r="N51">
        <v>4.125</v>
      </c>
      <c r="P51">
        <v>6.5</v>
      </c>
      <c r="Q51" s="10">
        <f t="shared" si="1"/>
        <v>4.333333333333333</v>
      </c>
      <c r="R51" s="10">
        <f t="shared" si="13"/>
        <v>2.166666666666667</v>
      </c>
      <c r="S51" s="10">
        <v>60</v>
      </c>
      <c r="T51" s="10">
        <v>2580</v>
      </c>
      <c r="U51" s="11">
        <f t="shared" si="11"/>
        <v>43.052343749999999</v>
      </c>
      <c r="V51" s="2">
        <f t="shared" si="14"/>
        <v>480</v>
      </c>
      <c r="W51" s="2">
        <f t="shared" si="3"/>
        <v>9.4499907714978928</v>
      </c>
      <c r="X51" s="2">
        <f t="shared" si="12"/>
        <v>73.154801759110995</v>
      </c>
      <c r="Y51">
        <v>3.3639999999999999</v>
      </c>
    </row>
    <row r="52" spans="1:25" x14ac:dyDescent="0.2">
      <c r="J52" s="2">
        <v>20698</v>
      </c>
      <c r="K52">
        <v>500</v>
      </c>
      <c r="L52">
        <v>3.7130000000000001</v>
      </c>
      <c r="M52" s="19"/>
      <c r="N52">
        <v>4.875</v>
      </c>
      <c r="P52">
        <v>6.5</v>
      </c>
      <c r="Q52" s="10">
        <f t="shared" si="1"/>
        <v>4.333333333333333</v>
      </c>
      <c r="R52" s="10">
        <f t="shared" si="13"/>
        <v>2.166666666666667</v>
      </c>
      <c r="S52" s="10">
        <v>60</v>
      </c>
      <c r="T52" s="10">
        <v>2580</v>
      </c>
      <c r="U52" s="11">
        <f t="shared" si="11"/>
        <v>43.052343749999999</v>
      </c>
      <c r="V52" s="2">
        <f t="shared" si="14"/>
        <v>500</v>
      </c>
      <c r="W52" s="2">
        <f t="shared" si="3"/>
        <v>9.8437403869769717</v>
      </c>
      <c r="X52" s="2">
        <f t="shared" si="12"/>
        <v>76.202918499073945</v>
      </c>
      <c r="Y52">
        <v>3.7130000000000001</v>
      </c>
    </row>
    <row r="53" spans="1:25" x14ac:dyDescent="0.2">
      <c r="J53" s="2">
        <v>15335</v>
      </c>
      <c r="K53">
        <v>510</v>
      </c>
      <c r="L53">
        <v>3.0779999999999998</v>
      </c>
      <c r="M53" s="19"/>
      <c r="N53">
        <v>5</v>
      </c>
      <c r="P53">
        <v>6.5</v>
      </c>
      <c r="Q53" s="10">
        <f t="shared" si="1"/>
        <v>4.333333333333333</v>
      </c>
      <c r="R53" s="10">
        <f t="shared" si="13"/>
        <v>2.166666666666667</v>
      </c>
      <c r="S53" s="10">
        <v>60</v>
      </c>
      <c r="T53" s="10">
        <v>2580</v>
      </c>
      <c r="U53" s="11">
        <f t="shared" si="11"/>
        <v>43.052343749999999</v>
      </c>
      <c r="V53" s="2">
        <f t="shared" si="14"/>
        <v>510</v>
      </c>
      <c r="W53" s="2">
        <f t="shared" si="3"/>
        <v>10.040615194716512</v>
      </c>
      <c r="X53" s="2">
        <f t="shared" si="12"/>
        <v>77.726976869055434</v>
      </c>
      <c r="Y53">
        <v>3.0779999999999998</v>
      </c>
    </row>
    <row r="54" spans="1:25" x14ac:dyDescent="0.2">
      <c r="J54" s="2">
        <v>15336</v>
      </c>
      <c r="K54">
        <v>490</v>
      </c>
      <c r="L54">
        <v>3.8119999999999998</v>
      </c>
      <c r="M54" s="19"/>
      <c r="N54">
        <v>7.125</v>
      </c>
      <c r="P54">
        <v>6.5</v>
      </c>
      <c r="Q54" s="10">
        <f t="shared" si="1"/>
        <v>4.333333333333333</v>
      </c>
      <c r="R54" s="10">
        <f t="shared" si="13"/>
        <v>2.166666666666667</v>
      </c>
      <c r="S54" s="10">
        <v>60</v>
      </c>
      <c r="T54" s="10">
        <v>2580</v>
      </c>
      <c r="U54" s="11">
        <f t="shared" si="11"/>
        <v>43.052343749999999</v>
      </c>
      <c r="V54" s="2">
        <f t="shared" si="14"/>
        <v>490</v>
      </c>
      <c r="W54" s="2">
        <f t="shared" si="3"/>
        <v>9.6468655792374332</v>
      </c>
      <c r="X54" s="2">
        <f t="shared" si="12"/>
        <v>74.67886012909247</v>
      </c>
      <c r="Y54">
        <v>3.8119999999999998</v>
      </c>
    </row>
    <row r="55" spans="1:25" x14ac:dyDescent="0.2">
      <c r="J55" s="2">
        <v>23314</v>
      </c>
      <c r="K55">
        <v>470</v>
      </c>
      <c r="L55">
        <v>4.3780000000000001</v>
      </c>
      <c r="M55" s="19"/>
      <c r="N55">
        <v>5</v>
      </c>
      <c r="P55">
        <v>6.5</v>
      </c>
      <c r="Q55" s="10">
        <f t="shared" si="1"/>
        <v>4.333333333333333</v>
      </c>
      <c r="R55" s="10">
        <f t="shared" si="13"/>
        <v>2.166666666666667</v>
      </c>
      <c r="S55" s="10">
        <v>60</v>
      </c>
      <c r="T55" s="10">
        <v>2580</v>
      </c>
      <c r="U55" s="11">
        <f t="shared" si="11"/>
        <v>43.052343749999999</v>
      </c>
      <c r="V55" s="2">
        <v>400</v>
      </c>
      <c r="W55" s="2">
        <f t="shared" si="3"/>
        <v>7.8749923095815779</v>
      </c>
      <c r="X55" s="2">
        <f t="shared" si="12"/>
        <v>60.96233479925916</v>
      </c>
      <c r="Y55">
        <v>4.3780000000000001</v>
      </c>
    </row>
    <row r="56" spans="1:25" x14ac:dyDescent="0.2">
      <c r="A56" t="s">
        <v>51</v>
      </c>
      <c r="B56">
        <v>1</v>
      </c>
      <c r="C56">
        <v>120</v>
      </c>
      <c r="E56" t="s">
        <v>27</v>
      </c>
      <c r="F56" t="s">
        <v>52</v>
      </c>
      <c r="G56">
        <v>5</v>
      </c>
      <c r="H56" t="s">
        <v>32</v>
      </c>
      <c r="I56" t="s">
        <v>53</v>
      </c>
      <c r="J56" s="2">
        <v>20697</v>
      </c>
      <c r="K56">
        <v>320</v>
      </c>
      <c r="L56">
        <v>5.7469999999999999</v>
      </c>
      <c r="M56" s="19" t="s">
        <v>46</v>
      </c>
      <c r="N56">
        <v>5.625</v>
      </c>
      <c r="P56">
        <v>4</v>
      </c>
      <c r="Q56" s="10">
        <f t="shared" si="1"/>
        <v>2.6666666666666665</v>
      </c>
      <c r="R56" s="10">
        <f t="shared" si="13"/>
        <v>1.3333333333333335</v>
      </c>
      <c r="S56" s="10">
        <v>120</v>
      </c>
      <c r="T56" s="10">
        <v>3120</v>
      </c>
      <c r="U56" s="11">
        <f t="shared" si="11"/>
        <v>26.493749999999999</v>
      </c>
      <c r="V56" s="2">
        <v>250</v>
      </c>
      <c r="W56" s="2">
        <f t="shared" si="3"/>
        <v>4.4757179627464554</v>
      </c>
      <c r="X56" s="2">
        <f t="shared" si="12"/>
        <v>48.57002105243734</v>
      </c>
      <c r="Y56">
        <v>5.7469999999999999</v>
      </c>
    </row>
    <row r="57" spans="1:25" x14ac:dyDescent="0.2">
      <c r="J57" s="2">
        <v>20698</v>
      </c>
      <c r="K57">
        <v>360</v>
      </c>
      <c r="L57">
        <v>4.5819999999999999</v>
      </c>
      <c r="M57" s="19"/>
      <c r="N57">
        <v>7.75</v>
      </c>
      <c r="P57">
        <v>4</v>
      </c>
      <c r="Q57" s="10">
        <f t="shared" si="1"/>
        <v>2.6666666666666665</v>
      </c>
      <c r="R57" s="10">
        <f t="shared" si="13"/>
        <v>1.3333333333333335</v>
      </c>
      <c r="S57" s="10">
        <v>120</v>
      </c>
      <c r="T57" s="10">
        <v>3120</v>
      </c>
      <c r="U57" s="11">
        <f t="shared" si="11"/>
        <v>26.493749999999999</v>
      </c>
      <c r="V57" s="2">
        <f>K57</f>
        <v>360</v>
      </c>
      <c r="W57" s="2">
        <f t="shared" si="3"/>
        <v>6.4450338663548958</v>
      </c>
      <c r="X57" s="2">
        <f t="shared" si="12"/>
        <v>69.940830315509771</v>
      </c>
      <c r="Y57">
        <v>4.5819999999999999</v>
      </c>
    </row>
    <row r="58" spans="1:25" x14ac:dyDescent="0.2">
      <c r="J58" s="2">
        <v>15335</v>
      </c>
      <c r="K58">
        <v>250</v>
      </c>
      <c r="L58">
        <v>7.0810000000000004</v>
      </c>
      <c r="M58" s="19"/>
      <c r="N58">
        <v>7.625</v>
      </c>
      <c r="P58">
        <v>4</v>
      </c>
      <c r="Q58" s="10">
        <f t="shared" si="1"/>
        <v>2.6666666666666665</v>
      </c>
      <c r="R58" s="10">
        <f t="shared" si="13"/>
        <v>1.3333333333333335</v>
      </c>
      <c r="S58" s="10">
        <v>120</v>
      </c>
      <c r="T58" s="10">
        <v>3120</v>
      </c>
      <c r="U58" s="11">
        <f t="shared" si="11"/>
        <v>26.493749999999999</v>
      </c>
      <c r="V58" s="2">
        <v>150</v>
      </c>
      <c r="W58" s="2">
        <f t="shared" si="3"/>
        <v>2.6854307776478734</v>
      </c>
      <c r="X58" s="2">
        <f t="shared" si="12"/>
        <v>29.142012631462404</v>
      </c>
      <c r="Y58">
        <v>7.0810000000000004</v>
      </c>
    </row>
    <row r="59" spans="1:25" x14ac:dyDescent="0.2">
      <c r="J59" s="2">
        <v>15336</v>
      </c>
      <c r="K59">
        <v>300</v>
      </c>
      <c r="L59">
        <v>5.12</v>
      </c>
      <c r="M59" s="19"/>
      <c r="N59">
        <v>9.875</v>
      </c>
      <c r="P59">
        <v>4</v>
      </c>
      <c r="Q59" s="10">
        <f t="shared" si="1"/>
        <v>2.6666666666666665</v>
      </c>
      <c r="R59" s="10">
        <f t="shared" si="13"/>
        <v>1.3333333333333335</v>
      </c>
      <c r="S59" s="10">
        <v>120</v>
      </c>
      <c r="T59" s="10">
        <v>3120</v>
      </c>
      <c r="U59" s="11">
        <f t="shared" si="11"/>
        <v>26.493749999999999</v>
      </c>
      <c r="V59" s="2">
        <f t="shared" ref="V59:V65" si="15">K59</f>
        <v>300</v>
      </c>
      <c r="W59" s="2">
        <f t="shared" si="3"/>
        <v>5.3708615552957468</v>
      </c>
      <c r="X59" s="2">
        <f t="shared" si="12"/>
        <v>58.284025262924807</v>
      </c>
      <c r="Y59">
        <v>5.12</v>
      </c>
    </row>
    <row r="60" spans="1:25" x14ac:dyDescent="0.2">
      <c r="J60" s="2">
        <v>23314</v>
      </c>
      <c r="K60">
        <v>400</v>
      </c>
      <c r="L60">
        <v>3.3050000000000002</v>
      </c>
      <c r="M60" s="19"/>
      <c r="N60">
        <v>8</v>
      </c>
      <c r="P60">
        <v>4</v>
      </c>
      <c r="Q60" s="10">
        <f t="shared" si="1"/>
        <v>2.6666666666666665</v>
      </c>
      <c r="R60" s="10">
        <f t="shared" si="13"/>
        <v>1.3333333333333335</v>
      </c>
      <c r="S60" s="10">
        <v>120</v>
      </c>
      <c r="T60" s="10">
        <v>3120</v>
      </c>
      <c r="U60" s="11">
        <f t="shared" si="11"/>
        <v>26.493749999999999</v>
      </c>
      <c r="V60" s="2">
        <f t="shared" si="15"/>
        <v>400</v>
      </c>
      <c r="W60" s="2">
        <f t="shared" si="3"/>
        <v>7.1611487403943288</v>
      </c>
      <c r="X60" s="2">
        <f t="shared" si="12"/>
        <v>77.712033683899747</v>
      </c>
      <c r="Y60">
        <v>3.3050000000000002</v>
      </c>
    </row>
    <row r="61" spans="1:25" x14ac:dyDescent="0.2">
      <c r="A61" t="s">
        <v>54</v>
      </c>
      <c r="B61">
        <v>1</v>
      </c>
      <c r="C61">
        <v>160</v>
      </c>
      <c r="E61" t="s">
        <v>55</v>
      </c>
      <c r="F61" t="s">
        <v>14</v>
      </c>
      <c r="G61">
        <v>5</v>
      </c>
      <c r="H61" t="s">
        <v>32</v>
      </c>
      <c r="J61" s="2">
        <v>20697</v>
      </c>
      <c r="K61">
        <v>430</v>
      </c>
      <c r="L61">
        <v>1.786</v>
      </c>
      <c r="M61" s="20">
        <v>0.11041666666666666</v>
      </c>
      <c r="N61">
        <v>5.875</v>
      </c>
      <c r="P61">
        <v>5.5</v>
      </c>
      <c r="Q61" s="10">
        <f t="shared" si="1"/>
        <v>3.6666666666666665</v>
      </c>
      <c r="R61" s="10">
        <f t="shared" si="13"/>
        <v>1.8333333333333335</v>
      </c>
      <c r="S61" s="10">
        <v>160</v>
      </c>
      <c r="T61" s="10">
        <v>5760</v>
      </c>
      <c r="U61" s="11">
        <f t="shared" si="11"/>
        <v>36.428906249999997</v>
      </c>
      <c r="V61" s="2">
        <f t="shared" si="15"/>
        <v>430</v>
      </c>
      <c r="W61" s="2">
        <f t="shared" si="3"/>
        <v>5.665747474468346</v>
      </c>
      <c r="X61" s="2">
        <f t="shared" si="12"/>
        <v>71.243523378692643</v>
      </c>
      <c r="Y61">
        <v>1.786</v>
      </c>
    </row>
    <row r="62" spans="1:25" x14ac:dyDescent="0.2">
      <c r="J62" s="2">
        <v>20698</v>
      </c>
      <c r="K62">
        <v>490</v>
      </c>
      <c r="L62">
        <v>1.5029999999999999</v>
      </c>
      <c r="M62" s="19"/>
      <c r="N62">
        <v>5.5</v>
      </c>
      <c r="P62">
        <v>5.5</v>
      </c>
      <c r="Q62" s="10">
        <f t="shared" si="1"/>
        <v>3.6666666666666665</v>
      </c>
      <c r="R62" s="10">
        <f t="shared" si="13"/>
        <v>1.8333333333333335</v>
      </c>
      <c r="S62" s="10">
        <v>160</v>
      </c>
      <c r="T62" s="10">
        <v>5760</v>
      </c>
      <c r="U62" s="11">
        <f t="shared" si="11"/>
        <v>36.428906249999997</v>
      </c>
      <c r="V62" s="2">
        <f t="shared" si="15"/>
        <v>490</v>
      </c>
      <c r="W62" s="2">
        <f t="shared" si="3"/>
        <v>6.4563168895104415</v>
      </c>
      <c r="X62" s="2">
        <f t="shared" si="12"/>
        <v>81.184480129207898</v>
      </c>
      <c r="Y62">
        <v>1.5029999999999999</v>
      </c>
    </row>
    <row r="63" spans="1:25" x14ac:dyDescent="0.2">
      <c r="J63" s="2">
        <v>15335</v>
      </c>
      <c r="K63">
        <v>450</v>
      </c>
      <c r="L63">
        <v>1.7589999999999999</v>
      </c>
      <c r="M63" s="19"/>
      <c r="N63">
        <v>8.5</v>
      </c>
      <c r="P63">
        <v>5.5</v>
      </c>
      <c r="Q63" s="10">
        <f t="shared" si="1"/>
        <v>3.6666666666666665</v>
      </c>
      <c r="R63" s="10">
        <f t="shared" si="13"/>
        <v>1.8333333333333335</v>
      </c>
      <c r="S63" s="10">
        <v>160</v>
      </c>
      <c r="T63" s="10">
        <v>5760</v>
      </c>
      <c r="U63" s="11">
        <f t="shared" si="11"/>
        <v>36.428906249999997</v>
      </c>
      <c r="V63" s="2">
        <f t="shared" si="15"/>
        <v>450</v>
      </c>
      <c r="W63" s="2">
        <f t="shared" si="3"/>
        <v>5.9292706128157109</v>
      </c>
      <c r="X63" s="2">
        <f t="shared" si="12"/>
        <v>74.557175628864385</v>
      </c>
      <c r="Y63">
        <v>1.7589999999999999</v>
      </c>
    </row>
    <row r="64" spans="1:25" x14ac:dyDescent="0.2">
      <c r="J64" s="2">
        <v>15336</v>
      </c>
      <c r="K64">
        <v>425</v>
      </c>
      <c r="L64">
        <v>1.7689999999999999</v>
      </c>
      <c r="M64" s="19"/>
      <c r="N64">
        <v>6.25</v>
      </c>
      <c r="P64">
        <v>5.5</v>
      </c>
      <c r="Q64" s="10">
        <f t="shared" si="1"/>
        <v>3.6666666666666665</v>
      </c>
      <c r="R64" s="10">
        <f t="shared" si="13"/>
        <v>1.8333333333333335</v>
      </c>
      <c r="S64" s="10">
        <v>160</v>
      </c>
      <c r="T64" s="10">
        <v>5760</v>
      </c>
      <c r="U64" s="11">
        <f t="shared" si="11"/>
        <v>36.428906249999997</v>
      </c>
      <c r="V64" s="2">
        <f t="shared" si="15"/>
        <v>425</v>
      </c>
      <c r="W64" s="2">
        <f t="shared" si="3"/>
        <v>5.5998666898815053</v>
      </c>
      <c r="X64" s="2">
        <f t="shared" si="12"/>
        <v>70.415110316149708</v>
      </c>
      <c r="Y64">
        <v>1.7689999999999999</v>
      </c>
    </row>
    <row r="65" spans="10:25" x14ac:dyDescent="0.2">
      <c r="J65" s="2">
        <v>23314</v>
      </c>
      <c r="K65">
        <v>400</v>
      </c>
      <c r="L65">
        <v>2.577</v>
      </c>
      <c r="M65" s="19"/>
      <c r="N65">
        <v>5.375</v>
      </c>
      <c r="P65">
        <v>5.5</v>
      </c>
      <c r="Q65" s="10">
        <f t="shared" si="1"/>
        <v>3.6666666666666665</v>
      </c>
      <c r="R65" s="10">
        <f t="shared" si="13"/>
        <v>1.8333333333333335</v>
      </c>
      <c r="S65" s="10">
        <v>160</v>
      </c>
      <c r="T65" s="10">
        <v>5760</v>
      </c>
      <c r="U65" s="11">
        <f t="shared" si="11"/>
        <v>36.428906249999997</v>
      </c>
      <c r="V65" s="2">
        <f t="shared" si="15"/>
        <v>400</v>
      </c>
      <c r="W65" s="2">
        <f t="shared" si="3"/>
        <v>5.2704627669472988</v>
      </c>
      <c r="X65" s="2">
        <f t="shared" si="12"/>
        <v>66.273045003435016</v>
      </c>
      <c r="Y65">
        <v>2.577</v>
      </c>
    </row>
  </sheetData>
  <mergeCells count="13">
    <mergeCell ref="AW5:AY5"/>
    <mergeCell ref="M61:M65"/>
    <mergeCell ref="M2:M5"/>
    <mergeCell ref="B7:B8"/>
    <mergeCell ref="M7:M11"/>
    <mergeCell ref="M21:M25"/>
    <mergeCell ref="M26:M30"/>
    <mergeCell ref="M31:M35"/>
    <mergeCell ref="M36:M40"/>
    <mergeCell ref="M41:M45"/>
    <mergeCell ref="M46:M50"/>
    <mergeCell ref="M51:M55"/>
    <mergeCell ref="M56:M6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1EE9-746D-4BC5-A5BA-67403DAFD4E2}">
  <dimension ref="H2:I66"/>
  <sheetViews>
    <sheetView topLeftCell="A41" workbookViewId="0">
      <selection activeCell="H2" sqref="H2:I66"/>
    </sheetView>
  </sheetViews>
  <sheetFormatPr baseColWidth="10" defaultColWidth="8.83203125" defaultRowHeight="15" x14ac:dyDescent="0.2"/>
  <sheetData>
    <row r="2" spans="8:9" x14ac:dyDescent="0.2">
      <c r="H2" s="1" t="s">
        <v>65</v>
      </c>
      <c r="I2" s="1" t="s">
        <v>56</v>
      </c>
    </row>
    <row r="3" spans="8:9" x14ac:dyDescent="0.2">
      <c r="H3" s="2">
        <v>400</v>
      </c>
      <c r="I3" s="2">
        <v>6.75</v>
      </c>
    </row>
    <row r="4" spans="8:9" x14ac:dyDescent="0.2">
      <c r="H4" s="2">
        <v>430</v>
      </c>
      <c r="I4" s="2">
        <v>7.875</v>
      </c>
    </row>
    <row r="5" spans="8:9" x14ac:dyDescent="0.2">
      <c r="H5" s="2"/>
      <c r="I5" s="2"/>
    </row>
    <row r="6" spans="8:9" x14ac:dyDescent="0.2">
      <c r="H6" s="2">
        <v>100</v>
      </c>
      <c r="I6" s="2">
        <v>9.125</v>
      </c>
    </row>
    <row r="7" spans="8:9" x14ac:dyDescent="0.2">
      <c r="H7" s="2">
        <v>120</v>
      </c>
      <c r="I7" s="2">
        <v>9</v>
      </c>
    </row>
    <row r="8" spans="8:9" x14ac:dyDescent="0.2">
      <c r="H8" s="2">
        <v>150</v>
      </c>
      <c r="I8" s="2">
        <v>27</v>
      </c>
    </row>
    <row r="9" spans="8:9" x14ac:dyDescent="0.2">
      <c r="H9" s="2">
        <v>100</v>
      </c>
      <c r="I9" s="2">
        <v>10.63</v>
      </c>
    </row>
    <row r="10" spans="8:9" x14ac:dyDescent="0.2">
      <c r="H10" s="2"/>
      <c r="I10" s="2"/>
    </row>
    <row r="11" spans="8:9" x14ac:dyDescent="0.2">
      <c r="H11" s="2">
        <v>400</v>
      </c>
      <c r="I11" s="2">
        <v>6.25</v>
      </c>
    </row>
    <row r="12" spans="8:9" x14ac:dyDescent="0.2">
      <c r="H12" s="2">
        <v>250</v>
      </c>
      <c r="I12" s="2">
        <v>24.63</v>
      </c>
    </row>
    <row r="13" spans="8:9" x14ac:dyDescent="0.2">
      <c r="H13" s="2"/>
      <c r="I13" s="2"/>
    </row>
    <row r="14" spans="8:9" x14ac:dyDescent="0.2">
      <c r="H14" s="2">
        <f>H8+240</f>
        <v>390</v>
      </c>
      <c r="I14" s="2">
        <v>33</v>
      </c>
    </row>
    <row r="15" spans="8:9" x14ac:dyDescent="0.2">
      <c r="H15" s="2">
        <f t="shared" ref="H15:H18" si="0">H9+240</f>
        <v>340</v>
      </c>
      <c r="I15" s="2">
        <v>15.75</v>
      </c>
    </row>
    <row r="16" spans="8:9" x14ac:dyDescent="0.2">
      <c r="H16" s="2">
        <f t="shared" si="0"/>
        <v>240</v>
      </c>
      <c r="I16" s="2">
        <v>14.88</v>
      </c>
    </row>
    <row r="17" spans="8:9" x14ac:dyDescent="0.2">
      <c r="H17" s="2">
        <f t="shared" si="0"/>
        <v>640</v>
      </c>
      <c r="I17" s="2">
        <v>6.25</v>
      </c>
    </row>
    <row r="18" spans="8:9" x14ac:dyDescent="0.2">
      <c r="H18" s="2">
        <f t="shared" si="0"/>
        <v>490</v>
      </c>
      <c r="I18" s="2">
        <v>8.875</v>
      </c>
    </row>
    <row r="19" spans="8:9" x14ac:dyDescent="0.2">
      <c r="H19" s="2"/>
      <c r="I19" s="2"/>
    </row>
    <row r="20" spans="8:9" x14ac:dyDescent="0.2">
      <c r="H20" s="2"/>
      <c r="I20" s="2"/>
    </row>
    <row r="21" spans="8:9" x14ac:dyDescent="0.2">
      <c r="H21" s="2"/>
      <c r="I21" s="2"/>
    </row>
    <row r="22" spans="8:9" x14ac:dyDescent="0.2">
      <c r="H22" s="5">
        <v>350</v>
      </c>
      <c r="I22" s="2">
        <v>28.88</v>
      </c>
    </row>
    <row r="23" spans="8:9" x14ac:dyDescent="0.2">
      <c r="H23" s="5">
        <v>200</v>
      </c>
      <c r="I23" s="2">
        <v>14.25</v>
      </c>
    </row>
    <row r="24" spans="8:9" x14ac:dyDescent="0.2">
      <c r="H24" s="5">
        <v>250</v>
      </c>
      <c r="I24" s="2">
        <v>8.125</v>
      </c>
    </row>
    <row r="25" spans="8:9" x14ac:dyDescent="0.2">
      <c r="H25" s="5">
        <v>250</v>
      </c>
      <c r="I25" s="2">
        <v>28.75</v>
      </c>
    </row>
    <row r="26" spans="8:9" x14ac:dyDescent="0.2">
      <c r="H26" s="5"/>
      <c r="I26" s="2">
        <v>7.125</v>
      </c>
    </row>
    <row r="27" spans="8:9" x14ac:dyDescent="0.2">
      <c r="H27" s="2">
        <v>450</v>
      </c>
      <c r="I27" s="2">
        <v>6.5</v>
      </c>
    </row>
    <row r="28" spans="8:9" x14ac:dyDescent="0.2">
      <c r="H28" s="2">
        <v>400</v>
      </c>
      <c r="I28" s="2">
        <v>6</v>
      </c>
    </row>
    <row r="29" spans="8:9" x14ac:dyDescent="0.2">
      <c r="H29" s="2">
        <v>380</v>
      </c>
      <c r="I29" s="2">
        <v>6.25</v>
      </c>
    </row>
    <row r="30" spans="8:9" x14ac:dyDescent="0.2">
      <c r="H30" s="2"/>
      <c r="I30" s="2"/>
    </row>
    <row r="31" spans="8:9" x14ac:dyDescent="0.2">
      <c r="H31" s="2">
        <v>300</v>
      </c>
      <c r="I31" s="2">
        <v>10.63</v>
      </c>
    </row>
    <row r="32" spans="8:9" x14ac:dyDescent="0.2">
      <c r="H32" s="2">
        <v>450</v>
      </c>
      <c r="I32" s="2">
        <v>5.75</v>
      </c>
    </row>
    <row r="33" spans="8:9" x14ac:dyDescent="0.2">
      <c r="H33" s="2">
        <v>470</v>
      </c>
      <c r="I33" s="2">
        <v>19.88</v>
      </c>
    </row>
    <row r="34" spans="8:9" x14ac:dyDescent="0.2">
      <c r="H34" s="2">
        <v>420</v>
      </c>
      <c r="I34" s="2">
        <v>7.625</v>
      </c>
    </row>
    <row r="35" spans="8:9" x14ac:dyDescent="0.2">
      <c r="H35" s="2"/>
      <c r="I35" s="2"/>
    </row>
    <row r="36" spans="8:9" x14ac:dyDescent="0.2">
      <c r="H36" s="2">
        <v>400</v>
      </c>
      <c r="I36" s="2">
        <v>5.75</v>
      </c>
    </row>
    <row r="37" spans="8:9" x14ac:dyDescent="0.2">
      <c r="H37" s="2"/>
      <c r="I37" s="2"/>
    </row>
    <row r="38" spans="8:9" x14ac:dyDescent="0.2">
      <c r="H38" s="2"/>
      <c r="I38" s="2"/>
    </row>
    <row r="39" spans="8:9" x14ac:dyDescent="0.2">
      <c r="H39" s="2"/>
      <c r="I39" s="2"/>
    </row>
    <row r="40" spans="8:9" x14ac:dyDescent="0.2">
      <c r="H40" s="2"/>
      <c r="I40" s="2"/>
    </row>
    <row r="41" spans="8:9" x14ac:dyDescent="0.2">
      <c r="H41" s="2"/>
      <c r="I41" s="2"/>
    </row>
    <row r="42" spans="8:9" x14ac:dyDescent="0.2">
      <c r="H42" s="2">
        <v>510</v>
      </c>
      <c r="I42" s="2">
        <v>5.75</v>
      </c>
    </row>
    <row r="43" spans="8:9" x14ac:dyDescent="0.2">
      <c r="H43" s="2">
        <v>480</v>
      </c>
      <c r="I43" s="2">
        <v>5.375</v>
      </c>
    </row>
    <row r="44" spans="8:9" x14ac:dyDescent="0.2">
      <c r="H44" s="2">
        <v>460</v>
      </c>
      <c r="I44" s="2">
        <v>3</v>
      </c>
    </row>
    <row r="45" spans="8:9" x14ac:dyDescent="0.2">
      <c r="H45" s="2">
        <v>350</v>
      </c>
      <c r="I45" s="2">
        <v>2.75</v>
      </c>
    </row>
    <row r="46" spans="8:9" x14ac:dyDescent="0.2">
      <c r="H46" s="2">
        <v>300</v>
      </c>
      <c r="I46" s="2">
        <v>2.75</v>
      </c>
    </row>
    <row r="47" spans="8:9" x14ac:dyDescent="0.2">
      <c r="H47" s="2">
        <v>460</v>
      </c>
      <c r="I47" s="2">
        <v>5.375</v>
      </c>
    </row>
    <row r="48" spans="8:9" x14ac:dyDescent="0.2">
      <c r="H48" s="2">
        <v>480</v>
      </c>
      <c r="I48" s="2">
        <v>3.375</v>
      </c>
    </row>
    <row r="49" spans="8:9" x14ac:dyDescent="0.2">
      <c r="H49" s="2">
        <v>480</v>
      </c>
      <c r="I49" s="2">
        <v>8.375</v>
      </c>
    </row>
    <row r="50" spans="8:9" x14ac:dyDescent="0.2">
      <c r="H50" s="2">
        <v>470</v>
      </c>
      <c r="I50" s="2">
        <v>4.75</v>
      </c>
    </row>
    <row r="51" spans="8:9" x14ac:dyDescent="0.2">
      <c r="H51" s="2">
        <v>450</v>
      </c>
      <c r="I51" s="2">
        <v>5.125</v>
      </c>
    </row>
    <row r="52" spans="8:9" x14ac:dyDescent="0.2">
      <c r="H52" s="2">
        <v>480</v>
      </c>
      <c r="I52" s="2">
        <v>4.125</v>
      </c>
    </row>
    <row r="53" spans="8:9" x14ac:dyDescent="0.2">
      <c r="H53" s="2">
        <v>500</v>
      </c>
      <c r="I53" s="2">
        <v>4.875</v>
      </c>
    </row>
    <row r="54" spans="8:9" x14ac:dyDescent="0.2">
      <c r="H54" s="2">
        <v>510</v>
      </c>
      <c r="I54" s="2">
        <v>5</v>
      </c>
    </row>
    <row r="55" spans="8:9" x14ac:dyDescent="0.2">
      <c r="H55" s="2">
        <v>490</v>
      </c>
      <c r="I55" s="2">
        <v>7.125</v>
      </c>
    </row>
    <row r="56" spans="8:9" x14ac:dyDescent="0.2">
      <c r="H56" s="2">
        <v>470</v>
      </c>
      <c r="I56" s="2">
        <v>5</v>
      </c>
    </row>
    <row r="57" spans="8:9" x14ac:dyDescent="0.2">
      <c r="H57" s="2">
        <v>320</v>
      </c>
      <c r="I57" s="2">
        <v>5.625</v>
      </c>
    </row>
    <row r="58" spans="8:9" x14ac:dyDescent="0.2">
      <c r="H58" s="2">
        <v>360</v>
      </c>
      <c r="I58" s="2">
        <v>7.75</v>
      </c>
    </row>
    <row r="59" spans="8:9" x14ac:dyDescent="0.2">
      <c r="H59" s="2">
        <v>250</v>
      </c>
      <c r="I59" s="2">
        <v>7.625</v>
      </c>
    </row>
    <row r="60" spans="8:9" x14ac:dyDescent="0.2">
      <c r="H60" s="2">
        <v>300</v>
      </c>
      <c r="I60" s="2">
        <v>9.875</v>
      </c>
    </row>
    <row r="61" spans="8:9" x14ac:dyDescent="0.2">
      <c r="H61" s="2">
        <v>400</v>
      </c>
      <c r="I61" s="2">
        <v>8</v>
      </c>
    </row>
    <row r="62" spans="8:9" x14ac:dyDescent="0.2">
      <c r="H62" s="2">
        <v>430</v>
      </c>
      <c r="I62" s="2">
        <v>5.875</v>
      </c>
    </row>
    <row r="63" spans="8:9" x14ac:dyDescent="0.2">
      <c r="H63" s="2">
        <v>490</v>
      </c>
      <c r="I63" s="2">
        <v>5.5</v>
      </c>
    </row>
    <row r="64" spans="8:9" x14ac:dyDescent="0.2">
      <c r="H64" s="2">
        <v>450</v>
      </c>
      <c r="I64" s="2">
        <v>8.5</v>
      </c>
    </row>
    <row r="65" spans="8:9" x14ac:dyDescent="0.2">
      <c r="H65" s="2">
        <v>425</v>
      </c>
      <c r="I65" s="2">
        <v>6.25</v>
      </c>
    </row>
    <row r="66" spans="8:9" x14ac:dyDescent="0.2">
      <c r="H66" s="2">
        <v>400</v>
      </c>
      <c r="I66" s="2">
        <v>5.375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EE94-CF4C-42C9-AB91-B91C572ABC34}">
  <dimension ref="A1:N61"/>
  <sheetViews>
    <sheetView tabSelected="1" topLeftCell="A10" zoomScale="115" zoomScaleNormal="115" workbookViewId="0">
      <selection sqref="A1:N1"/>
    </sheetView>
  </sheetViews>
  <sheetFormatPr baseColWidth="10" defaultColWidth="8.83203125" defaultRowHeight="15" x14ac:dyDescent="0.2"/>
  <cols>
    <col min="3" max="3" width="10.1640625" bestFit="1" customWidth="1"/>
    <col min="4" max="5" width="10.1640625" customWidth="1"/>
    <col min="6" max="6" width="12.5" bestFit="1" customWidth="1"/>
    <col min="7" max="7" width="9.83203125" bestFit="1" customWidth="1"/>
    <col min="9" max="9" width="13.33203125" bestFit="1" customWidth="1"/>
    <col min="10" max="10" width="12.6640625" bestFit="1" customWidth="1"/>
    <col min="11" max="11" width="10.33203125" bestFit="1" customWidth="1"/>
    <col min="12" max="12" width="10.33203125" customWidth="1"/>
    <col min="13" max="13" width="12" style="3" customWidth="1"/>
    <col min="14" max="14" width="11.5" bestFit="1" customWidth="1"/>
  </cols>
  <sheetData>
    <row r="1" spans="1:14" ht="32" x14ac:dyDescent="0.2">
      <c r="A1" s="24" t="s">
        <v>0</v>
      </c>
      <c r="B1" s="24" t="s">
        <v>5</v>
      </c>
      <c r="C1" s="24" t="s">
        <v>1</v>
      </c>
      <c r="D1" s="24" t="s">
        <v>11</v>
      </c>
      <c r="E1" s="24" t="s">
        <v>12</v>
      </c>
      <c r="F1" s="24" t="s">
        <v>4</v>
      </c>
      <c r="G1" s="24" t="s">
        <v>2</v>
      </c>
      <c r="H1" s="24" t="s">
        <v>3</v>
      </c>
      <c r="I1" s="24" t="s">
        <v>6</v>
      </c>
      <c r="J1" s="24" t="s">
        <v>7</v>
      </c>
      <c r="K1" s="24" t="s">
        <v>84</v>
      </c>
      <c r="L1" s="24" t="s">
        <v>34</v>
      </c>
      <c r="M1" s="24" t="s">
        <v>9</v>
      </c>
      <c r="N1" s="24" t="s">
        <v>56</v>
      </c>
    </row>
    <row r="2" spans="1:14" ht="16" x14ac:dyDescent="0.2">
      <c r="A2" s="22" t="s">
        <v>10</v>
      </c>
      <c r="B2" s="22">
        <v>1</v>
      </c>
      <c r="C2" s="22">
        <v>100</v>
      </c>
      <c r="D2" s="22">
        <v>350</v>
      </c>
      <c r="E2" s="22">
        <v>35</v>
      </c>
      <c r="F2" s="22">
        <v>6</v>
      </c>
      <c r="G2" s="22">
        <v>4</v>
      </c>
      <c r="H2" s="22">
        <v>5</v>
      </c>
      <c r="I2" s="22" t="s">
        <v>24</v>
      </c>
      <c r="J2" s="22">
        <v>20697</v>
      </c>
      <c r="K2" s="22">
        <v>400</v>
      </c>
      <c r="L2" s="22">
        <v>4.8259999999999996</v>
      </c>
      <c r="M2" s="22" t="s">
        <v>16</v>
      </c>
      <c r="N2" s="22">
        <v>6.75</v>
      </c>
    </row>
    <row r="3" spans="1:14" ht="16" x14ac:dyDescent="0.2">
      <c r="A3" s="22" t="s">
        <v>10</v>
      </c>
      <c r="B3" s="22">
        <v>1</v>
      </c>
      <c r="C3" s="22">
        <v>100</v>
      </c>
      <c r="D3" s="22">
        <v>350</v>
      </c>
      <c r="E3" s="22">
        <v>35</v>
      </c>
      <c r="F3" s="22">
        <v>6</v>
      </c>
      <c r="G3" s="22">
        <v>4</v>
      </c>
      <c r="H3" s="22">
        <v>5</v>
      </c>
      <c r="I3" s="22" t="s">
        <v>24</v>
      </c>
      <c r="J3" s="22">
        <v>20698</v>
      </c>
      <c r="K3" s="22">
        <v>430</v>
      </c>
      <c r="L3" s="22">
        <v>5.28</v>
      </c>
      <c r="M3" s="22" t="s">
        <v>16</v>
      </c>
      <c r="N3" s="22">
        <v>7.875</v>
      </c>
    </row>
    <row r="4" spans="1:14" ht="16" x14ac:dyDescent="0.2">
      <c r="A4" s="22" t="s">
        <v>10</v>
      </c>
      <c r="B4" s="22">
        <v>1</v>
      </c>
      <c r="C4" s="22">
        <v>100</v>
      </c>
      <c r="D4" s="22">
        <v>350</v>
      </c>
      <c r="E4" s="22">
        <v>35</v>
      </c>
      <c r="F4" s="22">
        <v>6</v>
      </c>
      <c r="G4" s="22">
        <v>4</v>
      </c>
      <c r="H4" s="22">
        <v>5</v>
      </c>
      <c r="I4" s="22" t="s">
        <v>24</v>
      </c>
      <c r="J4" s="22">
        <v>15335</v>
      </c>
      <c r="K4" s="22">
        <v>470</v>
      </c>
      <c r="L4" s="22"/>
      <c r="M4" s="22" t="s">
        <v>16</v>
      </c>
      <c r="N4" s="22"/>
    </row>
    <row r="5" spans="1:14" ht="16" x14ac:dyDescent="0.2">
      <c r="A5" s="22" t="s">
        <v>10</v>
      </c>
      <c r="B5" s="22">
        <v>1</v>
      </c>
      <c r="C5" s="22">
        <v>100</v>
      </c>
      <c r="D5" s="22">
        <v>350</v>
      </c>
      <c r="E5" s="22">
        <v>35</v>
      </c>
      <c r="F5" s="22">
        <v>6</v>
      </c>
      <c r="G5" s="22">
        <v>4</v>
      </c>
      <c r="H5" s="22">
        <v>5</v>
      </c>
      <c r="I5" s="22" t="s">
        <v>24</v>
      </c>
      <c r="J5" s="22">
        <v>15336</v>
      </c>
      <c r="K5" s="22">
        <v>480</v>
      </c>
      <c r="L5" s="22">
        <v>13.28</v>
      </c>
      <c r="M5" s="22" t="s">
        <v>16</v>
      </c>
      <c r="N5" s="22">
        <v>9.125</v>
      </c>
    </row>
    <row r="6" spans="1:14" ht="16" x14ac:dyDescent="0.2">
      <c r="A6" s="22" t="s">
        <v>10</v>
      </c>
      <c r="B6" s="22">
        <v>1</v>
      </c>
      <c r="C6" s="22">
        <v>100</v>
      </c>
      <c r="D6" s="22">
        <v>350</v>
      </c>
      <c r="E6" s="22">
        <v>35</v>
      </c>
      <c r="F6" s="22">
        <v>6</v>
      </c>
      <c r="G6" s="22">
        <v>4</v>
      </c>
      <c r="H6" s="22">
        <v>5</v>
      </c>
      <c r="I6" s="22" t="s">
        <v>24</v>
      </c>
      <c r="J6" s="22">
        <v>23314</v>
      </c>
      <c r="K6" s="22"/>
      <c r="L6" s="22">
        <v>10.29</v>
      </c>
      <c r="M6" s="22"/>
      <c r="N6" s="22">
        <v>9</v>
      </c>
    </row>
    <row r="7" spans="1:14" ht="16" x14ac:dyDescent="0.2">
      <c r="A7" s="22" t="s">
        <v>17</v>
      </c>
      <c r="B7" s="22">
        <v>2</v>
      </c>
      <c r="C7" s="22">
        <v>45</v>
      </c>
      <c r="D7" s="22">
        <v>65</v>
      </c>
      <c r="E7" s="22">
        <v>35</v>
      </c>
      <c r="F7" s="22">
        <v>3</v>
      </c>
      <c r="G7" s="22">
        <v>3</v>
      </c>
      <c r="H7" s="22">
        <v>5</v>
      </c>
      <c r="I7" s="22" t="s">
        <v>21</v>
      </c>
      <c r="J7" s="22">
        <v>20697</v>
      </c>
      <c r="K7" s="22">
        <v>310</v>
      </c>
      <c r="L7" s="22">
        <v>8.8179999999999996</v>
      </c>
      <c r="M7" s="22" t="s">
        <v>18</v>
      </c>
      <c r="N7" s="22">
        <v>27</v>
      </c>
    </row>
    <row r="8" spans="1:14" ht="16" x14ac:dyDescent="0.2">
      <c r="A8" s="22" t="s">
        <v>17</v>
      </c>
      <c r="B8" s="22">
        <v>2</v>
      </c>
      <c r="C8" s="22">
        <v>45</v>
      </c>
      <c r="D8" s="22">
        <v>65</v>
      </c>
      <c r="E8" s="22">
        <v>35</v>
      </c>
      <c r="F8" s="22">
        <v>5</v>
      </c>
      <c r="G8" s="22">
        <v>3</v>
      </c>
      <c r="H8" s="22">
        <v>5</v>
      </c>
      <c r="I8" s="22" t="s">
        <v>21</v>
      </c>
      <c r="J8" s="22">
        <v>20698</v>
      </c>
      <c r="K8" s="22">
        <v>320</v>
      </c>
      <c r="L8" s="22">
        <v>17.34</v>
      </c>
      <c r="M8" s="22" t="s">
        <v>18</v>
      </c>
      <c r="N8" s="22">
        <v>10.63</v>
      </c>
    </row>
    <row r="9" spans="1:14" ht="16" x14ac:dyDescent="0.2">
      <c r="A9" s="22" t="s">
        <v>17</v>
      </c>
      <c r="B9" s="22">
        <v>2</v>
      </c>
      <c r="C9" s="22">
        <v>45</v>
      </c>
      <c r="D9" s="22">
        <v>65</v>
      </c>
      <c r="E9" s="22">
        <v>35</v>
      </c>
      <c r="F9" s="22">
        <v>5</v>
      </c>
      <c r="G9" s="22">
        <v>3</v>
      </c>
      <c r="H9" s="22">
        <v>5</v>
      </c>
      <c r="I9" s="22" t="s">
        <v>21</v>
      </c>
      <c r="J9" s="22">
        <v>15335</v>
      </c>
      <c r="K9" s="22"/>
      <c r="L9" s="22">
        <v>16.34</v>
      </c>
      <c r="M9" s="22" t="s">
        <v>18</v>
      </c>
      <c r="N9" s="22">
        <v>10.75</v>
      </c>
    </row>
    <row r="10" spans="1:14" ht="16" x14ac:dyDescent="0.2">
      <c r="A10" s="22" t="s">
        <v>17</v>
      </c>
      <c r="B10" s="22">
        <v>2</v>
      </c>
      <c r="C10" s="22">
        <v>45</v>
      </c>
      <c r="D10" s="22">
        <v>65</v>
      </c>
      <c r="E10" s="22">
        <v>35</v>
      </c>
      <c r="F10" s="22">
        <v>5</v>
      </c>
      <c r="G10" s="22">
        <v>3</v>
      </c>
      <c r="H10" s="22">
        <v>5</v>
      </c>
      <c r="I10" s="22" t="s">
        <v>21</v>
      </c>
      <c r="J10" s="22">
        <v>15336</v>
      </c>
      <c r="K10" s="22">
        <v>450</v>
      </c>
      <c r="L10" s="22">
        <v>3.5430000000000001</v>
      </c>
      <c r="M10" s="22" t="s">
        <v>18</v>
      </c>
      <c r="N10" s="22">
        <v>6.25</v>
      </c>
    </row>
    <row r="11" spans="1:14" ht="16" x14ac:dyDescent="0.2">
      <c r="A11" s="22" t="s">
        <v>17</v>
      </c>
      <c r="B11" s="22">
        <v>2</v>
      </c>
      <c r="C11" s="22">
        <v>45</v>
      </c>
      <c r="D11" s="22">
        <v>65</v>
      </c>
      <c r="E11" s="22">
        <v>35</v>
      </c>
      <c r="F11" s="22">
        <v>5</v>
      </c>
      <c r="G11" s="22">
        <v>3</v>
      </c>
      <c r="H11" s="22">
        <v>5</v>
      </c>
      <c r="I11" s="22" t="s">
        <v>21</v>
      </c>
      <c r="J11" s="22">
        <v>23314</v>
      </c>
      <c r="K11" s="22">
        <v>180</v>
      </c>
      <c r="L11" s="22">
        <v>7.24</v>
      </c>
      <c r="M11" s="22" t="s">
        <v>18</v>
      </c>
      <c r="N11" s="22">
        <v>24.63</v>
      </c>
    </row>
    <row r="12" spans="1:14" ht="16" x14ac:dyDescent="0.2">
      <c r="A12" s="22" t="s">
        <v>17</v>
      </c>
      <c r="B12" s="22">
        <v>2</v>
      </c>
      <c r="C12" s="22">
        <v>70</v>
      </c>
      <c r="D12" s="22">
        <v>65</v>
      </c>
      <c r="E12" s="22">
        <v>35</v>
      </c>
      <c r="F12" s="22">
        <v>5</v>
      </c>
      <c r="G12" s="22">
        <v>3</v>
      </c>
      <c r="H12" s="22">
        <v>5</v>
      </c>
      <c r="I12" s="22" t="s">
        <v>21</v>
      </c>
      <c r="J12" s="22">
        <v>20697</v>
      </c>
      <c r="K12" s="22"/>
      <c r="L12" s="22">
        <v>2.0960000000000001</v>
      </c>
      <c r="M12" s="22"/>
      <c r="N12" s="22">
        <v>33</v>
      </c>
    </row>
    <row r="13" spans="1:14" ht="16" x14ac:dyDescent="0.2">
      <c r="A13" s="22" t="s">
        <v>17</v>
      </c>
      <c r="B13" s="22">
        <v>2</v>
      </c>
      <c r="C13" s="22">
        <v>70</v>
      </c>
      <c r="D13" s="22">
        <v>65</v>
      </c>
      <c r="E13" s="22">
        <v>35</v>
      </c>
      <c r="F13" s="22">
        <v>5</v>
      </c>
      <c r="G13" s="22">
        <v>3</v>
      </c>
      <c r="H13" s="22">
        <v>5</v>
      </c>
      <c r="I13" s="22" t="s">
        <v>21</v>
      </c>
      <c r="J13" s="22">
        <v>20698</v>
      </c>
      <c r="K13" s="22"/>
      <c r="L13" s="22">
        <v>1.323</v>
      </c>
      <c r="M13" s="22"/>
      <c r="N13" s="22">
        <v>15.75</v>
      </c>
    </row>
    <row r="14" spans="1:14" ht="16" x14ac:dyDescent="0.2">
      <c r="A14" s="22" t="s">
        <v>17</v>
      </c>
      <c r="B14" s="22">
        <v>2</v>
      </c>
      <c r="C14" s="22">
        <v>70</v>
      </c>
      <c r="D14" s="22">
        <v>65</v>
      </c>
      <c r="E14" s="22">
        <v>35</v>
      </c>
      <c r="F14" s="22">
        <v>5</v>
      </c>
      <c r="G14" s="22">
        <v>3</v>
      </c>
      <c r="H14" s="22">
        <v>5</v>
      </c>
      <c r="I14" s="22" t="s">
        <v>21</v>
      </c>
      <c r="J14" s="22">
        <v>15335</v>
      </c>
      <c r="K14" s="22"/>
      <c r="L14" s="22">
        <v>2.6539999999999999</v>
      </c>
      <c r="M14" s="22"/>
      <c r="N14" s="22">
        <v>14.88</v>
      </c>
    </row>
    <row r="15" spans="1:14" ht="16" x14ac:dyDescent="0.2">
      <c r="A15" s="22" t="s">
        <v>17</v>
      </c>
      <c r="B15" s="22">
        <v>2</v>
      </c>
      <c r="C15" s="22">
        <v>70</v>
      </c>
      <c r="D15" s="22">
        <v>65</v>
      </c>
      <c r="E15" s="22">
        <v>35</v>
      </c>
      <c r="F15" s="22">
        <v>5</v>
      </c>
      <c r="G15" s="22">
        <v>3</v>
      </c>
      <c r="H15" s="22">
        <v>5</v>
      </c>
      <c r="I15" s="22" t="s">
        <v>21</v>
      </c>
      <c r="J15" s="22">
        <v>15336</v>
      </c>
      <c r="K15" s="22"/>
      <c r="L15" s="22">
        <v>1.921</v>
      </c>
      <c r="M15" s="22"/>
      <c r="N15" s="22">
        <v>6.25</v>
      </c>
    </row>
    <row r="16" spans="1:14" ht="16" x14ac:dyDescent="0.2">
      <c r="A16" s="22" t="s">
        <v>17</v>
      </c>
      <c r="B16" s="22">
        <v>2</v>
      </c>
      <c r="C16" s="22">
        <v>70</v>
      </c>
      <c r="D16" s="22">
        <v>65</v>
      </c>
      <c r="E16" s="22">
        <v>35</v>
      </c>
      <c r="F16" s="22">
        <v>5</v>
      </c>
      <c r="G16" s="22">
        <v>3</v>
      </c>
      <c r="H16" s="22">
        <v>5</v>
      </c>
      <c r="I16" s="22" t="s">
        <v>21</v>
      </c>
      <c r="J16" s="22">
        <v>23314</v>
      </c>
      <c r="K16" s="22"/>
      <c r="L16" s="22">
        <v>1.9830000000000001</v>
      </c>
      <c r="M16" s="22"/>
      <c r="N16" s="22">
        <v>8.875</v>
      </c>
    </row>
    <row r="17" spans="1:14" ht="16" customHeight="1" x14ac:dyDescent="0.2">
      <c r="A17" s="22" t="s">
        <v>22</v>
      </c>
      <c r="B17" s="22">
        <v>1</v>
      </c>
      <c r="C17" s="22">
        <v>70</v>
      </c>
      <c r="D17" s="22">
        <v>32</v>
      </c>
      <c r="E17" s="22">
        <v>90</v>
      </c>
      <c r="F17" s="22">
        <v>6</v>
      </c>
      <c r="G17" s="22">
        <v>5</v>
      </c>
      <c r="H17" s="22">
        <v>5</v>
      </c>
      <c r="I17" s="22" t="s">
        <v>24</v>
      </c>
      <c r="J17" s="22">
        <v>20697</v>
      </c>
      <c r="K17" s="22">
        <v>250</v>
      </c>
      <c r="L17" s="22">
        <v>2.0089999999999999</v>
      </c>
      <c r="M17" s="23" t="s">
        <v>25</v>
      </c>
      <c r="N17" s="22">
        <v>28.88</v>
      </c>
    </row>
    <row r="18" spans="1:14" ht="16" x14ac:dyDescent="0.2">
      <c r="A18" s="22" t="s">
        <v>22</v>
      </c>
      <c r="B18" s="22">
        <v>1</v>
      </c>
      <c r="C18" s="22">
        <v>70</v>
      </c>
      <c r="D18" s="22">
        <v>32</v>
      </c>
      <c r="E18" s="22">
        <v>90</v>
      </c>
      <c r="F18" s="22">
        <v>6</v>
      </c>
      <c r="G18" s="22">
        <v>5</v>
      </c>
      <c r="H18" s="22">
        <v>5</v>
      </c>
      <c r="I18" s="22" t="s">
        <v>24</v>
      </c>
      <c r="J18" s="22">
        <v>20698</v>
      </c>
      <c r="K18" s="22">
        <v>280</v>
      </c>
      <c r="L18" s="22">
        <v>4.3259999999999996</v>
      </c>
      <c r="M18" s="23" t="s">
        <v>25</v>
      </c>
      <c r="N18" s="22">
        <v>14.25</v>
      </c>
    </row>
    <row r="19" spans="1:14" ht="16" x14ac:dyDescent="0.2">
      <c r="A19" s="22" t="s">
        <v>22</v>
      </c>
      <c r="B19" s="22">
        <v>1</v>
      </c>
      <c r="C19" s="22">
        <v>70</v>
      </c>
      <c r="D19" s="22">
        <v>32</v>
      </c>
      <c r="E19" s="22">
        <v>90</v>
      </c>
      <c r="F19" s="22">
        <v>6</v>
      </c>
      <c r="G19" s="22">
        <v>5</v>
      </c>
      <c r="H19" s="22">
        <v>5</v>
      </c>
      <c r="I19" s="22" t="s">
        <v>24</v>
      </c>
      <c r="J19" s="22">
        <v>15335</v>
      </c>
      <c r="K19" s="22">
        <v>300</v>
      </c>
      <c r="L19" s="22">
        <v>2.9580000000000002</v>
      </c>
      <c r="M19" s="23" t="s">
        <v>25</v>
      </c>
      <c r="N19" s="22">
        <v>8.125</v>
      </c>
    </row>
    <row r="20" spans="1:14" ht="16" x14ac:dyDescent="0.2">
      <c r="A20" s="22" t="s">
        <v>22</v>
      </c>
      <c r="B20" s="22">
        <v>1</v>
      </c>
      <c r="C20" s="22">
        <v>70</v>
      </c>
      <c r="D20" s="22">
        <v>32</v>
      </c>
      <c r="E20" s="22">
        <v>90</v>
      </c>
      <c r="F20" s="22">
        <v>6</v>
      </c>
      <c r="G20" s="22">
        <v>5</v>
      </c>
      <c r="H20" s="22">
        <v>5</v>
      </c>
      <c r="I20" s="22" t="s">
        <v>24</v>
      </c>
      <c r="J20" s="22">
        <v>15336</v>
      </c>
      <c r="K20" s="22">
        <v>430</v>
      </c>
      <c r="L20" s="22">
        <v>3.1749999999999998</v>
      </c>
      <c r="M20" s="23" t="s">
        <v>25</v>
      </c>
      <c r="N20" s="22">
        <v>28.75</v>
      </c>
    </row>
    <row r="21" spans="1:14" ht="16" x14ac:dyDescent="0.2">
      <c r="A21" s="22" t="s">
        <v>22</v>
      </c>
      <c r="B21" s="22">
        <v>1</v>
      </c>
      <c r="C21" s="22">
        <v>70</v>
      </c>
      <c r="D21" s="22">
        <v>32</v>
      </c>
      <c r="E21" s="22">
        <v>90</v>
      </c>
      <c r="F21" s="22">
        <v>6</v>
      </c>
      <c r="G21" s="22">
        <v>5</v>
      </c>
      <c r="H21" s="22">
        <v>5</v>
      </c>
      <c r="I21" s="22" t="s">
        <v>24</v>
      </c>
      <c r="J21" s="22">
        <v>23314</v>
      </c>
      <c r="K21" s="22"/>
      <c r="L21" s="22">
        <v>2.4710000000000001</v>
      </c>
      <c r="M21" s="23" t="s">
        <v>25</v>
      </c>
      <c r="N21" s="22">
        <v>7.125</v>
      </c>
    </row>
    <row r="22" spans="1:14" ht="16" x14ac:dyDescent="0.2">
      <c r="A22" s="22" t="s">
        <v>26</v>
      </c>
      <c r="B22" s="22">
        <v>1</v>
      </c>
      <c r="C22" s="22">
        <v>100</v>
      </c>
      <c r="D22" s="22">
        <v>250</v>
      </c>
      <c r="E22" s="22">
        <v>25</v>
      </c>
      <c r="F22" s="22">
        <v>6</v>
      </c>
      <c r="G22" s="22">
        <v>4</v>
      </c>
      <c r="H22" s="22">
        <v>4.5</v>
      </c>
      <c r="I22" s="22" t="s">
        <v>30</v>
      </c>
      <c r="J22" s="22">
        <v>20697</v>
      </c>
      <c r="K22" s="22">
        <v>450</v>
      </c>
      <c r="L22" s="22">
        <v>1.637</v>
      </c>
      <c r="M22" s="23">
        <v>8.8888888888888892E-2</v>
      </c>
      <c r="N22" s="22">
        <v>6.5</v>
      </c>
    </row>
    <row r="23" spans="1:14" ht="16" x14ac:dyDescent="0.2">
      <c r="A23" s="22" t="s">
        <v>26</v>
      </c>
      <c r="B23" s="22">
        <v>1</v>
      </c>
      <c r="C23" s="22">
        <v>100</v>
      </c>
      <c r="D23" s="22">
        <v>250</v>
      </c>
      <c r="E23" s="22">
        <v>25</v>
      </c>
      <c r="F23" s="22">
        <v>6</v>
      </c>
      <c r="G23" s="22">
        <v>4</v>
      </c>
      <c r="H23" s="22">
        <v>4.5</v>
      </c>
      <c r="I23" s="22" t="s">
        <v>30</v>
      </c>
      <c r="J23" s="22">
        <v>20698</v>
      </c>
      <c r="K23" s="22">
        <v>430</v>
      </c>
      <c r="L23" s="22">
        <v>3.7909999999999999</v>
      </c>
      <c r="M23" s="23">
        <v>8.8888888888888892E-2</v>
      </c>
      <c r="N23" s="22">
        <v>6</v>
      </c>
    </row>
    <row r="24" spans="1:14" ht="16" x14ac:dyDescent="0.2">
      <c r="A24" s="22" t="s">
        <v>26</v>
      </c>
      <c r="B24" s="22">
        <v>1</v>
      </c>
      <c r="C24" s="22">
        <v>100</v>
      </c>
      <c r="D24" s="22">
        <v>250</v>
      </c>
      <c r="E24" s="22">
        <v>25</v>
      </c>
      <c r="F24" s="22">
        <v>6</v>
      </c>
      <c r="G24" s="22">
        <v>4</v>
      </c>
      <c r="H24" s="22">
        <v>4.5</v>
      </c>
      <c r="I24" s="22" t="s">
        <v>30</v>
      </c>
      <c r="J24" s="22">
        <v>15335</v>
      </c>
      <c r="K24" s="22">
        <v>450</v>
      </c>
      <c r="L24" s="22">
        <v>3.7530000000000001</v>
      </c>
      <c r="M24" s="23">
        <v>8.8888888888888906E-2</v>
      </c>
      <c r="N24" s="22">
        <v>6.25</v>
      </c>
    </row>
    <row r="25" spans="1:14" ht="16" x14ac:dyDescent="0.2">
      <c r="A25" s="22" t="s">
        <v>26</v>
      </c>
      <c r="B25" s="22">
        <v>1</v>
      </c>
      <c r="C25" s="22">
        <v>100</v>
      </c>
      <c r="D25" s="22">
        <v>250</v>
      </c>
      <c r="E25" s="22">
        <v>25</v>
      </c>
      <c r="F25" s="22">
        <v>6</v>
      </c>
      <c r="G25" s="22">
        <v>4</v>
      </c>
      <c r="H25" s="22">
        <v>4.5</v>
      </c>
      <c r="I25" s="22" t="s">
        <v>30</v>
      </c>
      <c r="J25" s="22">
        <v>15336</v>
      </c>
      <c r="K25" s="22">
        <v>380</v>
      </c>
      <c r="L25" s="25"/>
      <c r="M25" s="23">
        <v>8.8888888888888906E-2</v>
      </c>
      <c r="N25" s="22"/>
    </row>
    <row r="26" spans="1:14" ht="16" x14ac:dyDescent="0.2">
      <c r="A26" s="22" t="s">
        <v>26</v>
      </c>
      <c r="B26" s="22">
        <v>1</v>
      </c>
      <c r="C26" s="22">
        <v>100</v>
      </c>
      <c r="D26" s="22">
        <v>250</v>
      </c>
      <c r="E26" s="22">
        <v>25</v>
      </c>
      <c r="F26" s="22">
        <v>6</v>
      </c>
      <c r="G26" s="22">
        <v>4</v>
      </c>
      <c r="H26" s="22">
        <v>4.5</v>
      </c>
      <c r="I26" s="22" t="s">
        <v>30</v>
      </c>
      <c r="J26" s="22">
        <v>23314</v>
      </c>
      <c r="K26" s="22">
        <v>400</v>
      </c>
      <c r="L26" s="22">
        <v>3.331</v>
      </c>
      <c r="M26" s="23">
        <v>8.8888888888888906E-2</v>
      </c>
      <c r="N26" s="22">
        <v>10.63</v>
      </c>
    </row>
    <row r="27" spans="1:14" ht="16" x14ac:dyDescent="0.2">
      <c r="A27" s="22" t="s">
        <v>31</v>
      </c>
      <c r="B27" s="22">
        <v>1</v>
      </c>
      <c r="C27" s="22">
        <v>90</v>
      </c>
      <c r="D27" s="22">
        <v>250</v>
      </c>
      <c r="E27" s="22">
        <v>33</v>
      </c>
      <c r="F27" s="22">
        <v>4.5</v>
      </c>
      <c r="G27" s="22">
        <v>3</v>
      </c>
      <c r="H27" s="22">
        <v>4</v>
      </c>
      <c r="I27" s="22" t="s">
        <v>33</v>
      </c>
      <c r="J27" s="22">
        <v>20697</v>
      </c>
      <c r="K27" s="22">
        <v>450</v>
      </c>
      <c r="L27" s="22">
        <v>1.829</v>
      </c>
      <c r="M27" s="23">
        <v>0.13472222222222222</v>
      </c>
      <c r="N27" s="22">
        <v>5.75</v>
      </c>
    </row>
    <row r="28" spans="1:14" ht="16" x14ac:dyDescent="0.2">
      <c r="A28" s="22" t="s">
        <v>31</v>
      </c>
      <c r="B28" s="22">
        <v>1</v>
      </c>
      <c r="C28" s="22">
        <v>90</v>
      </c>
      <c r="D28" s="22">
        <v>250</v>
      </c>
      <c r="E28" s="22">
        <v>33</v>
      </c>
      <c r="F28" s="22">
        <v>4.5</v>
      </c>
      <c r="G28" s="22">
        <v>3</v>
      </c>
      <c r="H28" s="22">
        <v>4</v>
      </c>
      <c r="I28" s="22" t="s">
        <v>33</v>
      </c>
      <c r="J28" s="22">
        <v>20698</v>
      </c>
      <c r="K28" s="22">
        <v>470</v>
      </c>
      <c r="L28" s="22">
        <v>1.5760000000000001</v>
      </c>
      <c r="M28" s="23">
        <v>0.13472222222222222</v>
      </c>
      <c r="N28" s="22">
        <v>19.88</v>
      </c>
    </row>
    <row r="29" spans="1:14" ht="16" x14ac:dyDescent="0.2">
      <c r="A29" s="22" t="s">
        <v>31</v>
      </c>
      <c r="B29" s="22">
        <v>1</v>
      </c>
      <c r="C29" s="22">
        <v>90</v>
      </c>
      <c r="D29" s="22">
        <v>250</v>
      </c>
      <c r="E29" s="22">
        <v>33</v>
      </c>
      <c r="F29" s="22">
        <v>4.5</v>
      </c>
      <c r="G29" s="22">
        <v>3</v>
      </c>
      <c r="H29" s="22">
        <v>4</v>
      </c>
      <c r="I29" s="22" t="s">
        <v>33</v>
      </c>
      <c r="J29" s="22">
        <v>15335</v>
      </c>
      <c r="K29" s="22">
        <v>420</v>
      </c>
      <c r="L29" s="22">
        <v>1.8240000000000001</v>
      </c>
      <c r="M29" s="23">
        <v>0.13472222222222199</v>
      </c>
      <c r="N29" s="22">
        <v>7.625</v>
      </c>
    </row>
    <row r="30" spans="1:14" ht="16" x14ac:dyDescent="0.2">
      <c r="A30" s="22" t="s">
        <v>31</v>
      </c>
      <c r="B30" s="22">
        <v>1</v>
      </c>
      <c r="C30" s="22">
        <v>90</v>
      </c>
      <c r="D30" s="22">
        <v>250</v>
      </c>
      <c r="E30" s="22">
        <v>33</v>
      </c>
      <c r="F30" s="22">
        <v>4.5</v>
      </c>
      <c r="G30" s="22">
        <v>3</v>
      </c>
      <c r="H30" s="22">
        <v>4</v>
      </c>
      <c r="I30" s="22" t="s">
        <v>33</v>
      </c>
      <c r="J30" s="22">
        <v>15336</v>
      </c>
      <c r="K30" s="22">
        <v>440</v>
      </c>
      <c r="L30" s="25"/>
      <c r="M30" s="23">
        <v>0.13472222222222199</v>
      </c>
      <c r="N30" s="22"/>
    </row>
    <row r="31" spans="1:14" ht="16" x14ac:dyDescent="0.2">
      <c r="A31" s="22" t="s">
        <v>31</v>
      </c>
      <c r="B31" s="22">
        <v>1</v>
      </c>
      <c r="C31" s="22">
        <v>90</v>
      </c>
      <c r="D31" s="22">
        <v>250</v>
      </c>
      <c r="E31" s="22">
        <v>33</v>
      </c>
      <c r="F31" s="22">
        <v>4.5</v>
      </c>
      <c r="G31" s="22">
        <v>3</v>
      </c>
      <c r="H31" s="22">
        <v>4</v>
      </c>
      <c r="I31" s="22" t="s">
        <v>33</v>
      </c>
      <c r="J31" s="22">
        <v>23314</v>
      </c>
      <c r="K31" s="22">
        <v>430</v>
      </c>
      <c r="L31" s="22">
        <v>1.964</v>
      </c>
      <c r="M31" s="23">
        <v>0.13472222222222199</v>
      </c>
      <c r="N31" s="22">
        <v>5.75</v>
      </c>
    </row>
    <row r="32" spans="1:14" ht="16" x14ac:dyDescent="0.2">
      <c r="A32" s="22" t="s">
        <v>35</v>
      </c>
      <c r="B32" s="22">
        <v>1</v>
      </c>
      <c r="C32" s="22">
        <v>100</v>
      </c>
      <c r="D32" s="22">
        <v>250</v>
      </c>
      <c r="E32" s="22">
        <v>35</v>
      </c>
      <c r="F32" s="22">
        <v>4.5</v>
      </c>
      <c r="G32" s="22">
        <v>4</v>
      </c>
      <c r="H32" s="22">
        <v>4.5</v>
      </c>
      <c r="I32" s="22" t="s">
        <v>37</v>
      </c>
      <c r="J32" s="22">
        <v>20697</v>
      </c>
      <c r="K32" s="22">
        <v>480</v>
      </c>
      <c r="L32" s="22"/>
      <c r="M32" s="22" t="s">
        <v>42</v>
      </c>
      <c r="N32" s="22"/>
    </row>
    <row r="33" spans="1:14" ht="16" x14ac:dyDescent="0.2">
      <c r="A33" s="22" t="s">
        <v>35</v>
      </c>
      <c r="B33" s="22">
        <v>1</v>
      </c>
      <c r="C33" s="22">
        <v>100</v>
      </c>
      <c r="D33" s="22">
        <v>250</v>
      </c>
      <c r="E33" s="22">
        <v>35</v>
      </c>
      <c r="F33" s="22">
        <v>4.5</v>
      </c>
      <c r="G33" s="22"/>
      <c r="H33" s="22">
        <v>4.5</v>
      </c>
      <c r="I33" s="22" t="s">
        <v>37</v>
      </c>
      <c r="J33" s="22">
        <v>20698</v>
      </c>
      <c r="K33" s="22">
        <v>470</v>
      </c>
      <c r="L33" s="22"/>
      <c r="M33" s="22" t="s">
        <v>42</v>
      </c>
      <c r="N33" s="22"/>
    </row>
    <row r="34" spans="1:14" ht="16" x14ac:dyDescent="0.2">
      <c r="A34" s="22" t="s">
        <v>35</v>
      </c>
      <c r="B34" s="22">
        <v>1</v>
      </c>
      <c r="C34" s="22">
        <v>100</v>
      </c>
      <c r="D34" s="22">
        <v>250</v>
      </c>
      <c r="E34" s="22">
        <v>35</v>
      </c>
      <c r="F34" s="22">
        <v>4.5</v>
      </c>
      <c r="G34" s="22">
        <v>4</v>
      </c>
      <c r="H34" s="22">
        <v>4.5</v>
      </c>
      <c r="I34" s="22" t="s">
        <v>37</v>
      </c>
      <c r="J34" s="22">
        <v>15335</v>
      </c>
      <c r="K34" s="22">
        <v>430</v>
      </c>
      <c r="L34" s="22"/>
      <c r="M34" s="22" t="s">
        <v>42</v>
      </c>
      <c r="N34" s="22"/>
    </row>
    <row r="35" spans="1:14" ht="16" x14ac:dyDescent="0.2">
      <c r="A35" s="22" t="s">
        <v>35</v>
      </c>
      <c r="B35" s="22">
        <v>1</v>
      </c>
      <c r="C35" s="22">
        <v>100</v>
      </c>
      <c r="D35" s="22">
        <v>250</v>
      </c>
      <c r="E35" s="22">
        <v>35</v>
      </c>
      <c r="F35" s="22">
        <v>4.5</v>
      </c>
      <c r="G35" s="22">
        <v>4</v>
      </c>
      <c r="H35" s="22">
        <v>4.5</v>
      </c>
      <c r="I35" s="22" t="s">
        <v>37</v>
      </c>
      <c r="J35" s="22">
        <v>15336</v>
      </c>
      <c r="K35" s="22">
        <v>410</v>
      </c>
      <c r="L35" s="22"/>
      <c r="M35" s="22" t="s">
        <v>42</v>
      </c>
      <c r="N35" s="22"/>
    </row>
    <row r="36" spans="1:14" ht="16" x14ac:dyDescent="0.2">
      <c r="A36" s="22" t="s">
        <v>35</v>
      </c>
      <c r="B36" s="22">
        <v>1</v>
      </c>
      <c r="C36" s="22">
        <v>100</v>
      </c>
      <c r="D36" s="22">
        <v>250</v>
      </c>
      <c r="E36" s="22">
        <v>35</v>
      </c>
      <c r="F36" s="22">
        <v>4.5</v>
      </c>
      <c r="G36" s="22">
        <v>4</v>
      </c>
      <c r="H36" s="22">
        <v>4.5</v>
      </c>
      <c r="I36" s="22" t="s">
        <v>37</v>
      </c>
      <c r="J36" s="22">
        <v>23314</v>
      </c>
      <c r="K36" s="22">
        <v>380</v>
      </c>
      <c r="L36" s="22"/>
      <c r="M36" s="22" t="s">
        <v>42</v>
      </c>
      <c r="N36" s="22"/>
    </row>
    <row r="37" spans="1:14" ht="16" x14ac:dyDescent="0.2">
      <c r="A37" s="22" t="s">
        <v>35</v>
      </c>
      <c r="B37" s="22">
        <v>2</v>
      </c>
      <c r="C37" s="22">
        <v>80</v>
      </c>
      <c r="D37" s="22">
        <v>3600</v>
      </c>
      <c r="E37" s="22">
        <v>43</v>
      </c>
      <c r="F37" s="22">
        <v>5</v>
      </c>
      <c r="G37" s="22">
        <v>3</v>
      </c>
      <c r="H37" s="22">
        <v>5</v>
      </c>
      <c r="I37" s="22" t="s">
        <v>40</v>
      </c>
      <c r="J37" s="22">
        <v>20697</v>
      </c>
      <c r="K37" s="22">
        <v>510</v>
      </c>
      <c r="L37" s="22">
        <v>1.9790000000000001</v>
      </c>
      <c r="M37" s="22" t="s">
        <v>41</v>
      </c>
      <c r="N37" s="22">
        <v>5.75</v>
      </c>
    </row>
    <row r="38" spans="1:14" ht="16" x14ac:dyDescent="0.2">
      <c r="A38" s="22" t="s">
        <v>35</v>
      </c>
      <c r="B38" s="22">
        <v>2</v>
      </c>
      <c r="C38" s="22">
        <v>80</v>
      </c>
      <c r="D38" s="22">
        <v>3600</v>
      </c>
      <c r="E38" s="22">
        <v>43</v>
      </c>
      <c r="F38" s="22">
        <v>5</v>
      </c>
      <c r="G38" s="22">
        <v>3</v>
      </c>
      <c r="H38" s="22">
        <v>5</v>
      </c>
      <c r="I38" s="22" t="s">
        <v>40</v>
      </c>
      <c r="J38" s="22">
        <v>20698</v>
      </c>
      <c r="K38" s="22">
        <v>480</v>
      </c>
      <c r="L38" s="22">
        <v>2.31</v>
      </c>
      <c r="M38" s="22" t="s">
        <v>41</v>
      </c>
      <c r="N38" s="22">
        <v>5.375</v>
      </c>
    </row>
    <row r="39" spans="1:14" ht="16" x14ac:dyDescent="0.2">
      <c r="A39" s="22" t="s">
        <v>35</v>
      </c>
      <c r="B39" s="22">
        <v>2</v>
      </c>
      <c r="C39" s="22">
        <v>80</v>
      </c>
      <c r="D39" s="22">
        <v>3600</v>
      </c>
      <c r="E39" s="22">
        <v>43</v>
      </c>
      <c r="F39" s="22">
        <v>5</v>
      </c>
      <c r="G39" s="22">
        <v>3</v>
      </c>
      <c r="H39" s="22">
        <v>5</v>
      </c>
      <c r="I39" s="22" t="s">
        <v>40</v>
      </c>
      <c r="J39" s="22">
        <v>15335</v>
      </c>
      <c r="K39" s="22">
        <v>460</v>
      </c>
      <c r="L39" s="22">
        <v>2.9940000000000002</v>
      </c>
      <c r="M39" s="22" t="s">
        <v>41</v>
      </c>
      <c r="N39" s="22">
        <v>3</v>
      </c>
    </row>
    <row r="40" spans="1:14" ht="16" x14ac:dyDescent="0.2">
      <c r="A40" s="22" t="s">
        <v>35</v>
      </c>
      <c r="B40" s="22">
        <v>2</v>
      </c>
      <c r="C40" s="22">
        <v>80</v>
      </c>
      <c r="D40" s="22">
        <v>3600</v>
      </c>
      <c r="E40" s="22">
        <v>43</v>
      </c>
      <c r="F40" s="22">
        <v>5</v>
      </c>
      <c r="G40" s="22">
        <v>3</v>
      </c>
      <c r="H40" s="22">
        <v>5</v>
      </c>
      <c r="I40" s="22" t="s">
        <v>40</v>
      </c>
      <c r="J40" s="22">
        <v>15336</v>
      </c>
      <c r="K40" s="22">
        <v>430</v>
      </c>
      <c r="L40" s="22">
        <v>5.0609999999999999</v>
      </c>
      <c r="M40" s="22" t="s">
        <v>41</v>
      </c>
      <c r="N40" s="22">
        <v>2.75</v>
      </c>
    </row>
    <row r="41" spans="1:14" ht="16" x14ac:dyDescent="0.2">
      <c r="A41" s="22" t="s">
        <v>35</v>
      </c>
      <c r="B41" s="22">
        <v>2</v>
      </c>
      <c r="C41" s="22">
        <v>80</v>
      </c>
      <c r="D41" s="22">
        <v>3600</v>
      </c>
      <c r="E41" s="22">
        <v>43</v>
      </c>
      <c r="F41" s="22">
        <v>5</v>
      </c>
      <c r="G41" s="22">
        <v>3</v>
      </c>
      <c r="H41" s="22">
        <v>5</v>
      </c>
      <c r="I41" s="22" t="s">
        <v>40</v>
      </c>
      <c r="J41" s="22">
        <v>23314</v>
      </c>
      <c r="K41" s="22">
        <v>420</v>
      </c>
      <c r="L41" s="22">
        <v>7.3769999999999998</v>
      </c>
      <c r="M41" s="22" t="s">
        <v>41</v>
      </c>
      <c r="N41" s="22">
        <v>2.75</v>
      </c>
    </row>
    <row r="42" spans="1:14" ht="16" x14ac:dyDescent="0.2">
      <c r="A42" s="22" t="s">
        <v>43</v>
      </c>
      <c r="B42" s="22">
        <v>1</v>
      </c>
      <c r="C42" s="22">
        <v>104</v>
      </c>
      <c r="D42" s="22">
        <v>3600</v>
      </c>
      <c r="E42" s="22">
        <v>50</v>
      </c>
      <c r="F42" s="22">
        <v>4</v>
      </c>
      <c r="G42" s="22">
        <v>7</v>
      </c>
      <c r="H42" s="22">
        <v>4</v>
      </c>
      <c r="I42" s="22" t="s">
        <v>45</v>
      </c>
      <c r="J42" s="22">
        <v>20697</v>
      </c>
      <c r="K42" s="22">
        <v>460</v>
      </c>
      <c r="L42" s="22">
        <v>1.6930000000000001</v>
      </c>
      <c r="M42" s="22" t="s">
        <v>46</v>
      </c>
      <c r="N42" s="22">
        <v>5.375</v>
      </c>
    </row>
    <row r="43" spans="1:14" ht="16" x14ac:dyDescent="0.2">
      <c r="A43" s="22" t="s">
        <v>43</v>
      </c>
      <c r="B43" s="22">
        <v>1</v>
      </c>
      <c r="C43" s="22">
        <v>104</v>
      </c>
      <c r="D43" s="22">
        <v>3600</v>
      </c>
      <c r="E43" s="22">
        <v>50</v>
      </c>
      <c r="F43" s="22">
        <v>4</v>
      </c>
      <c r="G43" s="22">
        <v>7</v>
      </c>
      <c r="H43" s="22">
        <v>4</v>
      </c>
      <c r="I43" s="22" t="s">
        <v>45</v>
      </c>
      <c r="J43" s="22">
        <v>20698</v>
      </c>
      <c r="K43" s="22">
        <v>480</v>
      </c>
      <c r="L43" s="22">
        <v>1.3540000000000001</v>
      </c>
      <c r="M43" s="22" t="s">
        <v>46</v>
      </c>
      <c r="N43" s="22">
        <v>3.375</v>
      </c>
    </row>
    <row r="44" spans="1:14" ht="16" x14ac:dyDescent="0.2">
      <c r="A44" s="22" t="s">
        <v>43</v>
      </c>
      <c r="B44" s="22">
        <v>1</v>
      </c>
      <c r="C44" s="22">
        <v>104</v>
      </c>
      <c r="D44" s="22">
        <v>3600</v>
      </c>
      <c r="E44" s="22">
        <v>50</v>
      </c>
      <c r="F44" s="22">
        <v>4</v>
      </c>
      <c r="G44" s="22">
        <v>7</v>
      </c>
      <c r="H44" s="22">
        <v>4</v>
      </c>
      <c r="I44" s="22" t="s">
        <v>45</v>
      </c>
      <c r="J44" s="22">
        <v>15335</v>
      </c>
      <c r="K44" s="22">
        <v>480</v>
      </c>
      <c r="L44" s="22">
        <v>1.405</v>
      </c>
      <c r="M44" s="22" t="s">
        <v>46</v>
      </c>
      <c r="N44" s="22">
        <v>8.375</v>
      </c>
    </row>
    <row r="45" spans="1:14" ht="16" x14ac:dyDescent="0.2">
      <c r="A45" s="22" t="s">
        <v>43</v>
      </c>
      <c r="B45" s="22">
        <v>1</v>
      </c>
      <c r="C45" s="22">
        <v>104</v>
      </c>
      <c r="D45" s="22">
        <v>3600</v>
      </c>
      <c r="E45" s="22">
        <v>50</v>
      </c>
      <c r="F45" s="22">
        <v>4</v>
      </c>
      <c r="G45" s="22">
        <v>7</v>
      </c>
      <c r="H45" s="22">
        <v>4</v>
      </c>
      <c r="I45" s="22" t="s">
        <v>45</v>
      </c>
      <c r="J45" s="22">
        <v>15336</v>
      </c>
      <c r="K45" s="22">
        <v>470</v>
      </c>
      <c r="L45" s="22">
        <v>1.69</v>
      </c>
      <c r="M45" s="22" t="s">
        <v>46</v>
      </c>
      <c r="N45" s="22">
        <v>4.75</v>
      </c>
    </row>
    <row r="46" spans="1:14" ht="16" x14ac:dyDescent="0.2">
      <c r="A46" s="22" t="s">
        <v>43</v>
      </c>
      <c r="B46" s="22">
        <v>1</v>
      </c>
      <c r="C46" s="22">
        <v>104</v>
      </c>
      <c r="D46" s="22">
        <v>3600</v>
      </c>
      <c r="E46" s="22">
        <v>50</v>
      </c>
      <c r="F46" s="22">
        <v>4</v>
      </c>
      <c r="G46" s="22">
        <v>7</v>
      </c>
      <c r="H46" s="22">
        <v>4</v>
      </c>
      <c r="I46" s="22" t="s">
        <v>45</v>
      </c>
      <c r="J46" s="22">
        <v>23314</v>
      </c>
      <c r="K46" s="22">
        <v>450</v>
      </c>
      <c r="L46" s="22">
        <v>1.796</v>
      </c>
      <c r="M46" s="22" t="s">
        <v>46</v>
      </c>
      <c r="N46" s="22">
        <v>5.125</v>
      </c>
    </row>
    <row r="47" spans="1:14" ht="16" x14ac:dyDescent="0.2">
      <c r="A47" s="22" t="s">
        <v>48</v>
      </c>
      <c r="B47" s="22">
        <v>2</v>
      </c>
      <c r="C47" s="22">
        <v>60</v>
      </c>
      <c r="D47" s="22">
        <v>3600</v>
      </c>
      <c r="E47" s="22">
        <v>45</v>
      </c>
      <c r="F47" s="22">
        <v>6</v>
      </c>
      <c r="G47" s="22">
        <v>4</v>
      </c>
      <c r="H47" s="22">
        <v>4</v>
      </c>
      <c r="I47" s="22" t="s">
        <v>49</v>
      </c>
      <c r="J47" s="22">
        <v>20697</v>
      </c>
      <c r="K47" s="22">
        <v>480</v>
      </c>
      <c r="L47" s="22">
        <v>3.3639999999999999</v>
      </c>
      <c r="M47" s="22" t="s">
        <v>50</v>
      </c>
      <c r="N47" s="22">
        <v>4.125</v>
      </c>
    </row>
    <row r="48" spans="1:14" ht="16" x14ac:dyDescent="0.2">
      <c r="A48" s="22" t="s">
        <v>43</v>
      </c>
      <c r="B48" s="22">
        <v>2</v>
      </c>
      <c r="C48" s="22">
        <v>60</v>
      </c>
      <c r="D48" s="22">
        <v>3600</v>
      </c>
      <c r="E48" s="22">
        <v>45</v>
      </c>
      <c r="F48" s="22">
        <v>6</v>
      </c>
      <c r="G48" s="22">
        <v>4</v>
      </c>
      <c r="H48" s="22">
        <v>4</v>
      </c>
      <c r="I48" s="22" t="s">
        <v>49</v>
      </c>
      <c r="J48" s="22">
        <v>20698</v>
      </c>
      <c r="K48" s="22">
        <v>500</v>
      </c>
      <c r="L48" s="22">
        <v>3.7130000000000001</v>
      </c>
      <c r="M48" s="22" t="s">
        <v>50</v>
      </c>
      <c r="N48" s="22">
        <v>4.875</v>
      </c>
    </row>
    <row r="49" spans="1:14" ht="16" x14ac:dyDescent="0.2">
      <c r="A49" s="22" t="s">
        <v>43</v>
      </c>
      <c r="B49" s="22">
        <v>2</v>
      </c>
      <c r="C49" s="22">
        <v>60</v>
      </c>
      <c r="D49" s="22">
        <v>3600</v>
      </c>
      <c r="E49" s="22">
        <v>45</v>
      </c>
      <c r="F49" s="22">
        <v>6</v>
      </c>
      <c r="G49" s="22">
        <v>4</v>
      </c>
      <c r="H49" s="22">
        <v>4</v>
      </c>
      <c r="I49" s="22" t="s">
        <v>49</v>
      </c>
      <c r="J49" s="22">
        <v>15335</v>
      </c>
      <c r="K49" s="22">
        <v>510</v>
      </c>
      <c r="L49" s="22">
        <v>3.0779999999999998</v>
      </c>
      <c r="M49" s="22" t="s">
        <v>50</v>
      </c>
      <c r="N49" s="22">
        <v>5</v>
      </c>
    </row>
    <row r="50" spans="1:14" ht="16" x14ac:dyDescent="0.2">
      <c r="A50" s="22" t="s">
        <v>43</v>
      </c>
      <c r="B50" s="22">
        <v>2</v>
      </c>
      <c r="C50" s="22">
        <v>60</v>
      </c>
      <c r="D50" s="22">
        <v>3600</v>
      </c>
      <c r="E50" s="22">
        <v>45</v>
      </c>
      <c r="F50" s="22">
        <v>6</v>
      </c>
      <c r="G50" s="22">
        <v>4</v>
      </c>
      <c r="H50" s="22">
        <v>4</v>
      </c>
      <c r="I50" s="22" t="s">
        <v>49</v>
      </c>
      <c r="J50" s="22">
        <v>15336</v>
      </c>
      <c r="K50" s="22">
        <v>490</v>
      </c>
      <c r="L50" s="22">
        <v>3.8119999999999998</v>
      </c>
      <c r="M50" s="22" t="s">
        <v>50</v>
      </c>
      <c r="N50" s="22">
        <v>7.125</v>
      </c>
    </row>
    <row r="51" spans="1:14" ht="16" x14ac:dyDescent="0.2">
      <c r="A51" s="22" t="s">
        <v>43</v>
      </c>
      <c r="B51" s="22">
        <v>2</v>
      </c>
      <c r="C51" s="22">
        <v>60</v>
      </c>
      <c r="D51" s="22">
        <v>3600</v>
      </c>
      <c r="E51" s="22">
        <v>45</v>
      </c>
      <c r="F51" s="22">
        <v>6</v>
      </c>
      <c r="G51" s="22">
        <v>4</v>
      </c>
      <c r="H51" s="22">
        <v>4</v>
      </c>
      <c r="I51" s="22" t="s">
        <v>49</v>
      </c>
      <c r="J51" s="22">
        <v>23314</v>
      </c>
      <c r="K51" s="22">
        <v>470</v>
      </c>
      <c r="L51" s="22">
        <v>4.3780000000000001</v>
      </c>
      <c r="M51" s="22" t="s">
        <v>50</v>
      </c>
      <c r="N51" s="22">
        <v>5</v>
      </c>
    </row>
    <row r="52" spans="1:14" ht="16" x14ac:dyDescent="0.2">
      <c r="A52" s="22" t="s">
        <v>51</v>
      </c>
      <c r="B52" s="22">
        <v>1</v>
      </c>
      <c r="C52" s="22">
        <v>120</v>
      </c>
      <c r="D52" s="22">
        <v>3600</v>
      </c>
      <c r="E52" s="22">
        <v>25</v>
      </c>
      <c r="F52" s="22">
        <v>3.5</v>
      </c>
      <c r="G52" s="22">
        <v>5</v>
      </c>
      <c r="H52" s="22">
        <v>4</v>
      </c>
      <c r="I52" s="22" t="s">
        <v>53</v>
      </c>
      <c r="J52" s="22">
        <v>20697</v>
      </c>
      <c r="K52" s="22">
        <v>380</v>
      </c>
      <c r="L52" s="22">
        <v>5.7469999999999999</v>
      </c>
      <c r="M52" s="22" t="s">
        <v>46</v>
      </c>
      <c r="N52" s="22">
        <v>5.625</v>
      </c>
    </row>
    <row r="53" spans="1:14" ht="16" x14ac:dyDescent="0.2">
      <c r="A53" s="22" t="s">
        <v>51</v>
      </c>
      <c r="B53" s="22">
        <v>1</v>
      </c>
      <c r="C53" s="22">
        <v>120</v>
      </c>
      <c r="D53" s="22">
        <v>3600</v>
      </c>
      <c r="E53" s="22">
        <v>25</v>
      </c>
      <c r="F53" s="22">
        <v>3.5</v>
      </c>
      <c r="G53" s="22">
        <v>5</v>
      </c>
      <c r="H53" s="22">
        <v>4</v>
      </c>
      <c r="I53" s="22" t="s">
        <v>53</v>
      </c>
      <c r="J53" s="22">
        <v>20698</v>
      </c>
      <c r="K53" s="22">
        <v>420</v>
      </c>
      <c r="L53" s="22">
        <v>4.5819999999999999</v>
      </c>
      <c r="M53" s="22" t="s">
        <v>46</v>
      </c>
      <c r="N53" s="22">
        <v>7.75</v>
      </c>
    </row>
    <row r="54" spans="1:14" ht="16" x14ac:dyDescent="0.2">
      <c r="A54" s="22" t="s">
        <v>51</v>
      </c>
      <c r="B54" s="22">
        <v>1</v>
      </c>
      <c r="C54" s="22">
        <v>120</v>
      </c>
      <c r="D54" s="22">
        <v>3600</v>
      </c>
      <c r="E54" s="22">
        <v>25</v>
      </c>
      <c r="F54" s="22">
        <v>3.5</v>
      </c>
      <c r="G54" s="22">
        <v>5</v>
      </c>
      <c r="H54" s="22">
        <v>4</v>
      </c>
      <c r="I54" s="22" t="s">
        <v>53</v>
      </c>
      <c r="J54" s="22">
        <v>15335</v>
      </c>
      <c r="K54" s="22">
        <v>440</v>
      </c>
      <c r="L54" s="22">
        <v>7.0810000000000004</v>
      </c>
      <c r="M54" s="22" t="s">
        <v>46</v>
      </c>
      <c r="N54" s="22">
        <v>7.625</v>
      </c>
    </row>
    <row r="55" spans="1:14" ht="16" x14ac:dyDescent="0.2">
      <c r="A55" s="22" t="s">
        <v>51</v>
      </c>
      <c r="B55" s="22">
        <v>1</v>
      </c>
      <c r="C55" s="22">
        <v>120</v>
      </c>
      <c r="D55" s="22">
        <v>3600</v>
      </c>
      <c r="E55" s="22">
        <v>25</v>
      </c>
      <c r="F55" s="22">
        <v>3.5</v>
      </c>
      <c r="G55" s="22">
        <v>5</v>
      </c>
      <c r="H55" s="22">
        <v>4</v>
      </c>
      <c r="I55" s="22" t="s">
        <v>53</v>
      </c>
      <c r="J55" s="22">
        <v>15336</v>
      </c>
      <c r="K55" s="22">
        <v>470</v>
      </c>
      <c r="L55" s="22">
        <v>5.12</v>
      </c>
      <c r="M55" s="22" t="s">
        <v>46</v>
      </c>
      <c r="N55" s="22">
        <v>9.875</v>
      </c>
    </row>
    <row r="56" spans="1:14" ht="16" x14ac:dyDescent="0.2">
      <c r="A56" s="22" t="s">
        <v>51</v>
      </c>
      <c r="B56" s="22">
        <v>1</v>
      </c>
      <c r="C56" s="22">
        <v>120</v>
      </c>
      <c r="D56" s="22">
        <v>3600</v>
      </c>
      <c r="E56" s="22">
        <v>25</v>
      </c>
      <c r="F56" s="22">
        <v>3.5</v>
      </c>
      <c r="G56" s="22">
        <v>5</v>
      </c>
      <c r="H56" s="22">
        <v>4</v>
      </c>
      <c r="I56" s="22" t="s">
        <v>53</v>
      </c>
      <c r="J56" s="22">
        <v>23314</v>
      </c>
      <c r="K56" s="22">
        <v>400</v>
      </c>
      <c r="L56" s="22">
        <v>3.3050000000000002</v>
      </c>
      <c r="M56" s="22" t="s">
        <v>46</v>
      </c>
      <c r="N56" s="22">
        <v>8</v>
      </c>
    </row>
    <row r="57" spans="1:14" ht="16" x14ac:dyDescent="0.2">
      <c r="A57" s="22" t="s">
        <v>54</v>
      </c>
      <c r="B57" s="22">
        <v>1</v>
      </c>
      <c r="C57" s="22">
        <v>160</v>
      </c>
      <c r="D57" s="22">
        <v>3600</v>
      </c>
      <c r="E57" s="22">
        <v>35</v>
      </c>
      <c r="F57" s="22">
        <v>6</v>
      </c>
      <c r="G57" s="22">
        <v>5</v>
      </c>
      <c r="H57" s="22">
        <v>4</v>
      </c>
      <c r="I57" s="22" t="s">
        <v>53</v>
      </c>
      <c r="J57" s="22">
        <v>20697</v>
      </c>
      <c r="K57" s="22">
        <v>480</v>
      </c>
      <c r="L57" s="22">
        <v>1.786</v>
      </c>
      <c r="M57" s="23">
        <v>0.11041666666666666</v>
      </c>
      <c r="N57" s="22">
        <v>5.875</v>
      </c>
    </row>
    <row r="58" spans="1:14" ht="16" x14ac:dyDescent="0.2">
      <c r="A58" s="22" t="s">
        <v>54</v>
      </c>
      <c r="B58" s="22">
        <v>1</v>
      </c>
      <c r="C58" s="22">
        <v>160</v>
      </c>
      <c r="D58" s="22">
        <v>3600</v>
      </c>
      <c r="E58" s="22">
        <v>35</v>
      </c>
      <c r="F58" s="22">
        <v>6</v>
      </c>
      <c r="G58" s="22">
        <v>5</v>
      </c>
      <c r="H58" s="22">
        <v>4</v>
      </c>
      <c r="I58" s="22" t="s">
        <v>53</v>
      </c>
      <c r="J58" s="22">
        <v>20698</v>
      </c>
      <c r="K58" s="22">
        <v>490</v>
      </c>
      <c r="L58" s="22">
        <v>1.5029999999999999</v>
      </c>
      <c r="M58" s="23">
        <v>0.11041666666666666</v>
      </c>
      <c r="N58" s="22">
        <v>5.5</v>
      </c>
    </row>
    <row r="59" spans="1:14" ht="16" x14ac:dyDescent="0.2">
      <c r="A59" s="22" t="s">
        <v>54</v>
      </c>
      <c r="B59" s="22">
        <v>1</v>
      </c>
      <c r="C59" s="22">
        <v>160</v>
      </c>
      <c r="D59" s="22">
        <v>3600</v>
      </c>
      <c r="E59" s="22">
        <v>35</v>
      </c>
      <c r="F59" s="22">
        <v>6</v>
      </c>
      <c r="G59" s="22">
        <v>5</v>
      </c>
      <c r="H59" s="22">
        <v>4</v>
      </c>
      <c r="I59" s="22" t="s">
        <v>53</v>
      </c>
      <c r="J59" s="22">
        <v>15335</v>
      </c>
      <c r="K59" s="22">
        <v>520</v>
      </c>
      <c r="L59" s="22">
        <v>1.7589999999999999</v>
      </c>
      <c r="M59" s="23">
        <v>0.110416666666667</v>
      </c>
      <c r="N59" s="22">
        <v>8.5</v>
      </c>
    </row>
    <row r="60" spans="1:14" ht="16" x14ac:dyDescent="0.2">
      <c r="A60" s="22" t="s">
        <v>54</v>
      </c>
      <c r="B60" s="22">
        <v>1</v>
      </c>
      <c r="C60" s="22">
        <v>160</v>
      </c>
      <c r="D60" s="22">
        <v>3600</v>
      </c>
      <c r="E60" s="22">
        <v>35</v>
      </c>
      <c r="F60" s="22">
        <v>6</v>
      </c>
      <c r="G60" s="22">
        <v>5</v>
      </c>
      <c r="H60" s="22">
        <v>4</v>
      </c>
      <c r="I60" s="22" t="s">
        <v>53</v>
      </c>
      <c r="J60" s="22">
        <v>15336</v>
      </c>
      <c r="K60" s="22">
        <v>540</v>
      </c>
      <c r="L60" s="22">
        <v>1.7689999999999999</v>
      </c>
      <c r="M60" s="23">
        <v>0.110416666666667</v>
      </c>
      <c r="N60" s="22">
        <v>6.25</v>
      </c>
    </row>
    <row r="61" spans="1:14" ht="16" x14ac:dyDescent="0.2">
      <c r="A61" s="22" t="s">
        <v>54</v>
      </c>
      <c r="B61" s="22">
        <v>1</v>
      </c>
      <c r="C61" s="22">
        <v>160</v>
      </c>
      <c r="D61" s="22">
        <v>3600</v>
      </c>
      <c r="E61" s="22">
        <v>35</v>
      </c>
      <c r="F61" s="22">
        <v>6</v>
      </c>
      <c r="G61" s="22">
        <v>5</v>
      </c>
      <c r="H61" s="22">
        <v>4</v>
      </c>
      <c r="I61" s="22" t="s">
        <v>53</v>
      </c>
      <c r="J61" s="22">
        <v>23314</v>
      </c>
      <c r="K61" s="22">
        <v>500</v>
      </c>
      <c r="L61" s="22">
        <v>2.577</v>
      </c>
      <c r="M61" s="23">
        <v>0.110416666666667</v>
      </c>
      <c r="N61" s="22">
        <v>5.375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(3)</vt:lpstr>
      <vt:lpstr>Sheet1 (2)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Satyabrata Behera</dc:creator>
  <cp:lastModifiedBy>Priyanka Hichkad</cp:lastModifiedBy>
  <dcterms:created xsi:type="dcterms:W3CDTF">2025-11-27T10:07:04Z</dcterms:created>
  <dcterms:modified xsi:type="dcterms:W3CDTF">2026-03-23T18:12:57Z</dcterms:modified>
</cp:coreProperties>
</file>